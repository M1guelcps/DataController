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Incubatorio\Incubatórios ADM\Incubatório - 01\7. Qualidade\01.Programa de Qualidade\03- Sala de Pintos\Check List do Caminhão e Expedição de Pintos\2026\MODELO\RMF\"/>
    </mc:Choice>
  </mc:AlternateContent>
  <xr:revisionPtr revIDLastSave="0" documentId="13_ncr:1_{D883494E-9051-4C0D-A7F8-92167F7D25C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heck List" sheetId="1" r:id="rId1"/>
    <sheet name="EXPEDIÇÃO" sheetId="2" r:id="rId2"/>
    <sheet name="TERMO DE CAIXAS" sheetId="5" r:id="rId3"/>
    <sheet name="MOTORISTAS" sheetId="3" r:id="rId4"/>
    <sheet name="CAMINHÃO" sheetId="4" r:id="rId5"/>
  </sheets>
  <externalReferences>
    <externalReference r:id="rId6"/>
  </externalReferences>
  <definedNames>
    <definedName name="_xlnm.Print_Area" localSheetId="0">'Check List'!$A$1:$Z$73</definedName>
    <definedName name="_xlnm.Print_Area" localSheetId="1">EXPEDIÇÃO!$A$1:$AC$45</definedName>
    <definedName name="_xlnm.Print_Area" localSheetId="2">'TERMO DE CAIXAS'!$A$1:$I$85</definedName>
    <definedName name="Print_Area_0_0" localSheetId="0">'Check List'!$A$1:$V$35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5" l="1"/>
  <c r="C69" i="5" s="1"/>
  <c r="D12" i="5"/>
  <c r="T6" i="2"/>
  <c r="B21" i="5" s="1"/>
  <c r="B67" i="5" s="1"/>
  <c r="D64" i="1"/>
  <c r="D43" i="2" s="1"/>
  <c r="C19" i="5" s="1"/>
  <c r="G68" i="5"/>
  <c r="E60" i="5"/>
  <c r="C41" i="5"/>
  <c r="H37" i="5"/>
  <c r="AA9" i="2"/>
  <c r="AA6" i="2"/>
  <c r="E21" i="5" s="1"/>
  <c r="C48" i="1"/>
  <c r="D65" i="1"/>
  <c r="Y48" i="1"/>
  <c r="T48" i="1"/>
  <c r="D58" i="5" l="1"/>
  <c r="E40" i="5"/>
  <c r="E39" i="5"/>
  <c r="E67" i="5"/>
  <c r="B39" i="5"/>
  <c r="H41" i="2"/>
  <c r="AA41" i="2"/>
  <c r="C6" i="2" l="1"/>
  <c r="D44" i="2"/>
  <c r="C20" i="5" s="1"/>
  <c r="D67" i="1"/>
  <c r="D45" i="2" s="1"/>
  <c r="C41" i="2"/>
  <c r="P45" i="2"/>
  <c r="J6" i="2"/>
  <c r="D22" i="5" l="1"/>
  <c r="D68" i="5" s="1"/>
  <c r="B38" i="5"/>
  <c r="C66" i="5"/>
  <c r="B37" i="5"/>
  <c r="C65" i="5"/>
  <c r="B60" i="5"/>
  <c r="B40" i="5"/>
</calcChain>
</file>

<file path=xl/sharedStrings.xml><?xml version="1.0" encoding="utf-8"?>
<sst xmlns="http://schemas.openxmlformats.org/spreadsheetml/2006/main" count="512" uniqueCount="261">
  <si>
    <t>REGISTRO</t>
  </si>
  <si>
    <t>REG-IC.:__________</t>
  </si>
  <si>
    <t>CHECK LIST - CAMINHÃO DE PINTOS DE UM DIA</t>
  </si>
  <si>
    <t>PAG.01 de 01</t>
  </si>
  <si>
    <t>INCUBATÓRIO - S.P</t>
  </si>
  <si>
    <t>DATA CRIAÇÃO: 28/02/22      REV.: 00      ÚLTIMA REV.:</t>
  </si>
  <si>
    <t>LEGENDA: C (CONFORME)    /    NC (NÃO CONFORME)    /    N.A (NÃO SE APLICA)</t>
  </si>
  <si>
    <t>PARA USO DA LOGÍSTICA</t>
  </si>
  <si>
    <t>SAÍDA</t>
  </si>
  <si>
    <t>DATA:</t>
  </si>
  <si>
    <t>HORA:</t>
  </si>
  <si>
    <t>PREFIXO(VEÍCULO):</t>
  </si>
  <si>
    <t>MOTORISTA:</t>
  </si>
  <si>
    <t>OPERAÇÃO INCUBATÓRIO:</t>
  </si>
  <si>
    <t>RETORNO</t>
  </si>
  <si>
    <t>DOCUMENTAÇÃO</t>
  </si>
  <si>
    <t>OBSERVAÇÕES:</t>
  </si>
  <si>
    <t>CRLV</t>
  </si>
  <si>
    <t>C</t>
  </si>
  <si>
    <t>X</t>
  </si>
  <si>
    <t>NC</t>
  </si>
  <si>
    <t>CERTIFICADO DE CRONOTACÓGRAFO</t>
  </si>
  <si>
    <t>AET</t>
  </si>
  <si>
    <t>CARTÃO COMBUSTÍVEL</t>
  </si>
  <si>
    <t>KIT SEGURANÇA</t>
  </si>
  <si>
    <t>OBSERVAÇÃO</t>
  </si>
  <si>
    <t>CINTO DE SEGURANÇA</t>
  </si>
  <si>
    <t>EXTINTOR</t>
  </si>
  <si>
    <t>MACACO HIDRÁULICO</t>
  </si>
  <si>
    <t>CHAVE DE RODA</t>
  </si>
  <si>
    <t>TRIÂNGULO</t>
  </si>
  <si>
    <t>ELÉTRICA / LANTERNAGEM</t>
  </si>
  <si>
    <t>FAROL LD / LE</t>
  </si>
  <si>
    <t>RETROVISOR</t>
  </si>
  <si>
    <t>PARABRISA</t>
  </si>
  <si>
    <t>LIMPADOR PARABRISA</t>
  </si>
  <si>
    <t>BUZINA A AR / ELÉTRICA</t>
  </si>
  <si>
    <t>LANTERNA TRASEIRA LD / LE</t>
  </si>
  <si>
    <t>DIVERSOS</t>
  </si>
  <si>
    <t>LACRE DA PLACA</t>
  </si>
  <si>
    <t>TANQUE DE COMBUSTÍVEL (PENEIRA)</t>
  </si>
  <si>
    <t>SISTEMA DE ÁGUA</t>
  </si>
  <si>
    <t>PNEUS</t>
  </si>
  <si>
    <t>STEP</t>
  </si>
  <si>
    <t>1-) O funcionamento do sistema de ventilação está conforme?</t>
  </si>
  <si>
    <t>SIM</t>
  </si>
  <si>
    <t>NÃO</t>
  </si>
  <si>
    <t>N.A</t>
  </si>
  <si>
    <t>2-) O funcionamento do sistema de exaustão está conforme?</t>
  </si>
  <si>
    <t>3-) O funcionamento do sistema de aquecimento está conforme?</t>
  </si>
  <si>
    <t>4-) O funcionamento do sistema de umidificação está conforme?</t>
  </si>
  <si>
    <t>5-) O funcionamento da parte elétrica está conforme?</t>
  </si>
  <si>
    <t>6-) A carroceria do baú está limpa e em bom estado de conservação?</t>
  </si>
  <si>
    <t>7-) O compartimento interno do baú encontra-se limpo e em bom estado de conservação?</t>
  </si>
  <si>
    <t>8-) As divisórias de sustentação das caixas estão conformes?</t>
  </si>
  <si>
    <t>MANOBRISTA CIALNE:</t>
  </si>
  <si>
    <t>OBSERVAÇÕES GERAIS:</t>
  </si>
  <si>
    <t>PARA USO DO INCUBATÓRIO</t>
  </si>
  <si>
    <t>DATA DA EXPEDIÇÃO:</t>
  </si>
  <si>
    <t>TRANSPORTADORA:</t>
  </si>
  <si>
    <t>CIALNE</t>
  </si>
  <si>
    <t>PLACA:</t>
  </si>
  <si>
    <t>SITUAÇÃO DA INSPEÇÃO VEICULAR:</t>
  </si>
  <si>
    <t>(   ) CONFORME    (   ) NÃO CONFORME</t>
  </si>
  <si>
    <t>Nº CARGA:</t>
  </si>
  <si>
    <t>MOTIVO DA REPROVAÇÃO:</t>
  </si>
  <si>
    <t>CONFORME</t>
  </si>
  <si>
    <t>NÃO CONFORME</t>
  </si>
  <si>
    <t>ITENS DE VERIFICAÇÃO</t>
  </si>
  <si>
    <t>STATUS</t>
  </si>
  <si>
    <t>1-) O motorista é específico para o transporte de pintos de um dia?</t>
  </si>
  <si>
    <t>EM CASO NEGATIVO:</t>
  </si>
  <si>
    <t>Em caso negativo:    (  ) Frango Cialne     (   ) Ração       (  ) Externo        Data última viagem:____/____/____</t>
  </si>
  <si>
    <t>FRANGO CIALNE</t>
  </si>
  <si>
    <t>RAÇÃO</t>
  </si>
  <si>
    <t>EXTERNO:</t>
  </si>
  <si>
    <t>DATA DA ÚLTIMA VIAGEM:</t>
  </si>
  <si>
    <t>2-) O motorista está com uniforme adequado para a execução da atividade?</t>
  </si>
  <si>
    <t>3-) O marcador de temperatura registra entre 22º e 28ºC ?</t>
  </si>
  <si>
    <t xml:space="preserve">Temperatura: </t>
  </si>
  <si>
    <t>4-) Existem materiais de uso pessoal dos motoristas ou outros no interior do baú?</t>
  </si>
  <si>
    <t>5-) A quantidade de caixas está adequada à capacidade do baú?</t>
  </si>
  <si>
    <t>6-) O veículo está lacrado?</t>
  </si>
  <si>
    <t>Temperatura ideal: 22ºC a 28ºC. Para "temperatura" fora dos nivéis de controle, antes de iniciar o carregamento deve-se: T &gt; 28ºC (adicionar água gelada nos tanques). Se T &lt; 22ºC deve-se aquecer baú até temperatura recomendada.</t>
  </si>
  <si>
    <t>CONFERÊNCIA DOS DADOS PERTINENTES A (S) CARGAS (S) E CIENTE DE APROVAÇÃO DO (S) MOTORISTA (S)</t>
  </si>
  <si>
    <t>MOTORISTA (S)</t>
  </si>
  <si>
    <t>ASSINATURA (S)</t>
  </si>
  <si>
    <t>RESPONSÁVEL PELA INSPEÇÃO VEICULAR:</t>
  </si>
  <si>
    <t>CARGO:</t>
  </si>
  <si>
    <t>AUX. PRODUÇAO</t>
  </si>
  <si>
    <t>ASSINATURA:</t>
  </si>
  <si>
    <t>REG-IC.:____</t>
  </si>
  <si>
    <t>REV.: 00</t>
  </si>
  <si>
    <t>DATA DA CRIAÇÃO.: 28/02/22</t>
  </si>
  <si>
    <t>SITUAÇÃO DE INSPEÇÃO *</t>
  </si>
  <si>
    <t>APROVADO</t>
  </si>
  <si>
    <t>Motivo da Reprovação:</t>
  </si>
  <si>
    <t>Comercial / PCP</t>
  </si>
  <si>
    <t>Veterinário</t>
  </si>
  <si>
    <t>Horário programado X realizado</t>
  </si>
  <si>
    <t>Visto:</t>
  </si>
  <si>
    <t>Motivo pela liberação</t>
  </si>
  <si>
    <t>CLIENTE</t>
  </si>
  <si>
    <t>GTA</t>
  </si>
  <si>
    <t>Cidade</t>
  </si>
  <si>
    <t>Carga Rotulada</t>
  </si>
  <si>
    <t>Uso de Hidratante</t>
  </si>
  <si>
    <t>Número de Pintos M/R nas caixas</t>
  </si>
  <si>
    <t>LOTE (s)</t>
  </si>
  <si>
    <t>Sim</t>
  </si>
  <si>
    <t>Não</t>
  </si>
  <si>
    <t>Nº *</t>
  </si>
  <si>
    <t>%</t>
  </si>
  <si>
    <t xml:space="preserve"> </t>
  </si>
  <si>
    <t>.</t>
  </si>
  <si>
    <t>* Após o carregamento da carga, realizar a contagem dos pintos, não conformes segregados e se o % retirado for &gt; 0,08%, deve-se comunicar com R.T / ENCARREGADO responsável antes de liberar veículo carregado</t>
  </si>
  <si>
    <t>Conferência da (s) caixa (s) durante carregamento  pelo (s) motorista (s):</t>
  </si>
  <si>
    <t>TOTAL CXS PLÁSTICAS</t>
  </si>
  <si>
    <t>TOTAL CXS PAPELÃO:</t>
  </si>
  <si>
    <t>TOTAL DE TAMPAS:</t>
  </si>
  <si>
    <t>VOLUME PROGRAMADO NA INCUBAÇÃO:</t>
  </si>
  <si>
    <t>VOLUME TOTAL DE PINTOS:</t>
  </si>
  <si>
    <t>RESPONSÁVEL PELA EXPEDIÇÃO DAS CARGAS:</t>
  </si>
  <si>
    <t>LACRE:</t>
  </si>
  <si>
    <t>JULIANA MONTEIRO</t>
  </si>
  <si>
    <t>COLABORADORES AUTORIZADOS A REALIZAREM A INSPEÇÃO: Franscisca Lívia,  JULIANA MONTEIRO   (ou sob autorização destes).</t>
  </si>
  <si>
    <t>FELIPE MAGALHAES CASTRO</t>
  </si>
  <si>
    <t>FRANCISCO AUREILSON FERREIRA GOMES</t>
  </si>
  <si>
    <t xml:space="preserve">Horário término do carregamento da carga: </t>
  </si>
  <si>
    <t>CHAPA</t>
  </si>
  <si>
    <t>COLABORADOR</t>
  </si>
  <si>
    <t>AFONSO CELSO FREIRE DE AMORIM</t>
  </si>
  <si>
    <t>ALDENE TITO DA SILVA</t>
  </si>
  <si>
    <t>ALEXANDRE OLIVEIRA LIMA</t>
  </si>
  <si>
    <t>ANDRE LUIZ NOBRE LEAL</t>
  </si>
  <si>
    <t>ANTONIO ELIANO DOS SANTOS LIMA</t>
  </si>
  <si>
    <t>ANTONIO FERNANDO MARTINS ROCHA</t>
  </si>
  <si>
    <t>ANTONIO FLAVIO DE MORAIS SANTOS</t>
  </si>
  <si>
    <t>ANTONIO HELIO GOMES RODRIGUES</t>
  </si>
  <si>
    <t>ANTONIO JOSE SILVA DOS SANTOS</t>
  </si>
  <si>
    <t>ANTONIO PESSOA DE SOUSA</t>
  </si>
  <si>
    <t>ANTONIO REGIS FERREIRA DA SILVA</t>
  </si>
  <si>
    <t>CESAR LIMA DA PENHA</t>
  </si>
  <si>
    <t>DAMIAO DA PAES DA SILVA</t>
  </si>
  <si>
    <t>DANIEL SOARES PINHEIRO</t>
  </si>
  <si>
    <t>FRANCISCO DE ASSIS DE SOUSA LIMA</t>
  </si>
  <si>
    <t>FRANCISCO DELMO TEIXEIRA</t>
  </si>
  <si>
    <t>FRANCISCO JAIR DA SILVA SODRE</t>
  </si>
  <si>
    <t>GEAN LUIS DA SILVA ALVES</t>
  </si>
  <si>
    <t>GEILSON VERISSIMO DE ARAUJO SILVA</t>
  </si>
  <si>
    <t>GLEISON MOURA DE SOUSA</t>
  </si>
  <si>
    <t>JOEL MENDES BARBOSA</t>
  </si>
  <si>
    <t>JONAS ALVES DA SILVA</t>
  </si>
  <si>
    <t>JOSE DEIMISON GOMES CELESTINO</t>
  </si>
  <si>
    <t>JOSE EDSON DE ARAUJO</t>
  </si>
  <si>
    <t>JOSE UENES E SILVA</t>
  </si>
  <si>
    <t>JOSE VALDECIR FERREIRA NOJOSA</t>
  </si>
  <si>
    <t>LUIS DE ANDRADE SOUSA</t>
  </si>
  <si>
    <t>MARCIO VENICIUS OLIVEIRA ALVES</t>
  </si>
  <si>
    <t>MARCOS ANTONIO DA SILVA</t>
  </si>
  <si>
    <t>PAULO ELTON DA SILVA BRAZ</t>
  </si>
  <si>
    <t>PAULO HENRIQUE ARAUJO VASCONCELOS</t>
  </si>
  <si>
    <t>RAIMUNDO RIODE GOMES BARROSO</t>
  </si>
  <si>
    <t>RENATO BEZERRA SILVA</t>
  </si>
  <si>
    <t>RONDINELE DA SILVA</t>
  </si>
  <si>
    <t>RUDSON MENEZES DOS SANTOS</t>
  </si>
  <si>
    <t>VALBER ROQUE ALVES</t>
  </si>
  <si>
    <t>RII - 4H22</t>
  </si>
  <si>
    <t>Nº Lacre (pós carregameto)</t>
  </si>
  <si>
    <t>Solicitação de Notas Fiscais</t>
  </si>
  <si>
    <t>Previsão de carregamento</t>
  </si>
  <si>
    <t>Envio do MDFE</t>
  </si>
  <si>
    <t>Envio dos GTA's.</t>
  </si>
  <si>
    <t>Envio das NOTAS FISCAIS.</t>
  </si>
  <si>
    <t>Envio de Remesas</t>
  </si>
  <si>
    <r>
      <t xml:space="preserve">* Se </t>
    </r>
    <r>
      <rPr>
        <b/>
        <i/>
        <sz val="11"/>
        <color rgb="FFFF0000"/>
        <rFont val="Arial"/>
        <family val="2"/>
      </rPr>
      <t>"reprovado"</t>
    </r>
    <r>
      <rPr>
        <i/>
        <sz val="11"/>
        <rFont val="Arial"/>
        <family val="2"/>
      </rPr>
      <t>, a liberação do veículo para carregamento somente ocorrerá após substituição e ou conserto do veículo, salvo se o departamento comercial ou veterinário responsável pelo incubatóio liberar o veículo reprovado para carregamento relatando motivos da liberação e assinando como responsável pela autorização.</t>
    </r>
  </si>
  <si>
    <t>REGISTRO DE EXPEDIÇÃO DE PINTOS DE UM DIA</t>
  </si>
  <si>
    <t>CIALNE - INCUBATÓRIO I</t>
  </si>
  <si>
    <t>DATA DA ÚLTIMA REVISÃO: 26/02/2026</t>
  </si>
  <si>
    <r>
      <t>Autorização para carregamento em caso "</t>
    </r>
    <r>
      <rPr>
        <b/>
        <sz val="11"/>
        <color rgb="FFFF0000"/>
        <rFont val="Arial"/>
        <family val="2"/>
      </rPr>
      <t>REPROVAÇÃO</t>
    </r>
    <r>
      <rPr>
        <b/>
        <sz val="11"/>
        <rFont val="Arial"/>
        <family val="2"/>
      </rPr>
      <t>":</t>
    </r>
  </si>
  <si>
    <t>Início de carregamento</t>
  </si>
  <si>
    <t>Volume de Pintos</t>
  </si>
  <si>
    <t>CAIXAS DE PAPELÃO</t>
  </si>
  <si>
    <t>CAIXAS DE PLÁSTICAS</t>
  </si>
  <si>
    <t>Preço (Unid.)</t>
  </si>
  <si>
    <t>Nota Fiscal</t>
  </si>
  <si>
    <t>Nº Pintos Repostos</t>
  </si>
  <si>
    <t xml:space="preserve">Observações do carregamento </t>
  </si>
  <si>
    <t>PLACAS DOS CAMINHÕES</t>
  </si>
  <si>
    <t>CP</t>
  </si>
  <si>
    <t>PLACA</t>
  </si>
  <si>
    <t>POU – 2737</t>
  </si>
  <si>
    <t>POJ – 6877</t>
  </si>
  <si>
    <t>PNZ – 7A12</t>
  </si>
  <si>
    <t>PNV – 1712</t>
  </si>
  <si>
    <t>POV – 8I37</t>
  </si>
  <si>
    <t>PNY – 4D62</t>
  </si>
  <si>
    <t>POW - 2857</t>
  </si>
  <si>
    <t>POW – 2247</t>
  </si>
  <si>
    <t>RIF - 8B00</t>
  </si>
  <si>
    <t>POO - 3H52</t>
  </si>
  <si>
    <t>PNX – 6533</t>
  </si>
  <si>
    <t>POB – 9395</t>
  </si>
  <si>
    <t>PNI – 3493</t>
  </si>
  <si>
    <t>OID – 9D39</t>
  </si>
  <si>
    <t>SAZ - 9J56</t>
  </si>
  <si>
    <t>SBL - 5A16</t>
  </si>
  <si>
    <t>SBG - 1B76</t>
  </si>
  <si>
    <t>TIJ - 2G79</t>
  </si>
  <si>
    <t>TIN - 3D69</t>
  </si>
  <si>
    <t>THR - 5A31</t>
  </si>
  <si>
    <t>THO - 5A20</t>
  </si>
  <si>
    <t>THO - 5G10</t>
  </si>
  <si>
    <t>Juliana monteiro</t>
  </si>
  <si>
    <t>JOÃO DANIEL DE SOUSA CRUZ</t>
  </si>
  <si>
    <t>PNV – 1H72</t>
  </si>
  <si>
    <t>THO - 6C10</t>
  </si>
  <si>
    <t>COMPANHIA DE ALIMENTOS DO NORDESTE – CIALNE</t>
  </si>
  <si>
    <t>Avenida Presidente Costa e Silva, 2067 – Mondubim</t>
  </si>
  <si>
    <t>Fortaleza – CE</t>
  </si>
  <si>
    <t>CEP : 60.761-190</t>
  </si>
  <si>
    <t>TEL : (85) 3477-2700</t>
  </si>
  <si>
    <t>TERMO DE RESPONSABILIDADE</t>
  </si>
  <si>
    <t>CIALNE I</t>
  </si>
  <si>
    <t>Controle de Retirada</t>
  </si>
  <si>
    <t>Eu,</t>
  </si>
  <si>
    <t>Representante legal da empresa</t>
  </si>
  <si>
    <r>
      <t xml:space="preserve">recebi da </t>
    </r>
    <r>
      <rPr>
        <b/>
        <sz val="12"/>
        <color rgb="FF000000"/>
        <rFont val="Calibri"/>
        <family val="2"/>
      </rPr>
      <t>COMPANHIA DE ALIMENTOS DO NORDESTE - CIALNE I</t>
    </r>
  </si>
  <si>
    <t>A quantidade de</t>
  </si>
  <si>
    <t>Caixas e</t>
  </si>
  <si>
    <t>tampas para transporte de pintos de 1 dia.</t>
  </si>
  <si>
    <t>No ato da devolução, comprometo – me a entregá – las em perfeito estado,</t>
  </si>
  <si>
    <t>salvo o degaste normal do uso.</t>
  </si>
  <si>
    <t>Estou ciente de que os danos provocados por maus tratos ou em caso de perda ou extravio,</t>
  </si>
  <si>
    <t>os valores correspondentes serão cobrados .</t>
  </si>
  <si>
    <t>Motorista Responsável:</t>
  </si>
  <si>
    <t>Nº de CP:</t>
  </si>
  <si>
    <t>Placa :</t>
  </si>
  <si>
    <t>Data de retirada do Incubatório:</t>
  </si>
  <si>
    <t>de</t>
  </si>
  <si>
    <t>Local de Entrega:</t>
  </si>
  <si>
    <t>Controle de Retorno</t>
  </si>
  <si>
    <t>Vieram :</t>
  </si>
  <si>
    <t>Ficaram :</t>
  </si>
  <si>
    <t>Data de Retorno :</t>
  </si>
  <si>
    <t>Quantidades de Caixas  :</t>
  </si>
  <si>
    <t>Conferente Responsável :</t>
  </si>
  <si>
    <t>Motorista Responsável :</t>
  </si>
  <si>
    <t>OBSERVAÇÃO:</t>
  </si>
  <si>
    <t>Comprovante de Entrega no Incubatório</t>
  </si>
  <si>
    <t>Motoristas</t>
  </si>
  <si>
    <t>Origem:</t>
  </si>
  <si>
    <t>Quant. de Caixas :</t>
  </si>
  <si>
    <t>Cliente :</t>
  </si>
  <si>
    <t>Data de Saída do Incubatório:</t>
  </si>
  <si>
    <t>Data de Retorno:</t>
  </si>
  <si>
    <t>Colaborador Logística:</t>
  </si>
  <si>
    <t>Recebedor no incubatório:</t>
  </si>
  <si>
    <t xml:space="preserve">                   CIALNE I              2ª via</t>
  </si>
  <si>
    <r>
      <t xml:space="preserve">Recebi da </t>
    </r>
    <r>
      <rPr>
        <b/>
        <sz val="10"/>
        <color rgb="FF000000"/>
        <rFont val="Calibri"/>
        <family val="2"/>
      </rPr>
      <t>COMPANHIA DE ALIMENTOS DO NORDESTE – CIALNE I</t>
    </r>
  </si>
  <si>
    <t>LUIZ WAGNER RIBEIRO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</si>
</sst>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"/>
    <numFmt numFmtId="165" formatCode="_-* #,##0_-;\-* #,##0_-;_-* &quot;-&quot;??_-;_-@_-"/>
    <numFmt numFmtId="166" formatCode="[$-416]d\-mmm\-yy;@"/>
  </numFmts>
  <fonts count="57">
    <font>
      <sz val="10"/>
      <name val="Arial"/>
      <charset val="1"/>
    </font>
    <font>
      <sz val="10"/>
      <name val="Calibri"/>
      <family val="2"/>
      <charset val="1"/>
    </font>
    <font>
      <sz val="14"/>
      <name val="Calibri"/>
      <family val="2"/>
      <charset val="1"/>
    </font>
    <font>
      <b/>
      <sz val="18"/>
      <name val="Calibri"/>
      <family val="2"/>
      <charset val="1"/>
    </font>
    <font>
      <b/>
      <sz val="10.5"/>
      <name val="Calibri"/>
      <family val="2"/>
      <charset val="1"/>
    </font>
    <font>
      <b/>
      <sz val="18"/>
      <color rgb="FF002060"/>
      <name val="Calibri"/>
      <family val="2"/>
      <charset val="1"/>
    </font>
    <font>
      <b/>
      <sz val="9"/>
      <name val="Calibri"/>
      <family val="2"/>
      <charset val="1"/>
    </font>
    <font>
      <b/>
      <sz val="9"/>
      <color rgb="FFFF0000"/>
      <name val="Calibri"/>
      <family val="2"/>
      <charset val="1"/>
    </font>
    <font>
      <sz val="9"/>
      <name val="Calibri"/>
      <family val="2"/>
      <charset val="1"/>
    </font>
    <font>
      <b/>
      <sz val="22"/>
      <name val="Calibri"/>
      <family val="2"/>
      <charset val="1"/>
    </font>
    <font>
      <b/>
      <sz val="14"/>
      <name val="Calibri"/>
      <family val="2"/>
      <charset val="1"/>
    </font>
    <font>
      <b/>
      <sz val="13"/>
      <name val="Calibri"/>
      <family val="2"/>
      <charset val="1"/>
    </font>
    <font>
      <b/>
      <sz val="11"/>
      <name val="Calibri"/>
      <family val="2"/>
      <charset val="1"/>
    </font>
    <font>
      <b/>
      <sz val="16"/>
      <name val="Calibri"/>
      <family val="2"/>
      <charset val="1"/>
    </font>
    <font>
      <b/>
      <sz val="20"/>
      <name val="Calibri"/>
      <family val="2"/>
      <charset val="1"/>
    </font>
    <font>
      <b/>
      <sz val="12"/>
      <name val="Calibri"/>
      <family val="2"/>
      <charset val="1"/>
    </font>
    <font>
      <b/>
      <sz val="16"/>
      <color rgb="FFFF0000"/>
      <name val="Calibri"/>
      <family val="2"/>
      <charset val="1"/>
    </font>
    <font>
      <b/>
      <i/>
      <sz val="14"/>
      <name val="Calibri"/>
      <family val="2"/>
      <charset val="1"/>
    </font>
    <font>
      <i/>
      <u/>
      <sz val="14"/>
      <name val="Calibri"/>
      <family val="2"/>
      <charset val="1"/>
    </font>
    <font>
      <b/>
      <sz val="14"/>
      <color rgb="FF0000FF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0"/>
      <name val="Arial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4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4"/>
      <color rgb="FF0066CC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i/>
      <sz val="11"/>
      <color rgb="FFFF0000"/>
      <name val="Arial"/>
      <family val="2"/>
    </font>
    <font>
      <b/>
      <sz val="11"/>
      <color rgb="FF000000"/>
      <name val="Arial"/>
      <family val="2"/>
    </font>
    <font>
      <b/>
      <i/>
      <sz val="8"/>
      <name val="Arial"/>
      <family val="2"/>
    </font>
    <font>
      <b/>
      <sz val="16"/>
      <name val="Arial"/>
      <family val="2"/>
    </font>
    <font>
      <b/>
      <sz val="14"/>
      <color rgb="FF003366"/>
      <name val="Arial"/>
      <family val="2"/>
    </font>
    <font>
      <b/>
      <sz val="11"/>
      <color rgb="FFFF0000"/>
      <name val="Arial"/>
      <family val="2"/>
    </font>
    <font>
      <b/>
      <sz val="20"/>
      <color rgb="FF000000"/>
      <name val="Calibri"/>
      <family val="2"/>
    </font>
    <font>
      <b/>
      <sz val="14"/>
      <color rgb="FF000000"/>
      <name val="Arial Black"/>
      <family val="2"/>
    </font>
    <font>
      <sz val="10"/>
      <name val="Arial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Liberation Sans1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AE3F3"/>
        <bgColor rgb="FFE7E6E6"/>
      </patternFill>
    </fill>
    <fill>
      <patternFill patternType="solid">
        <fgColor rgb="FFB4C7DC"/>
        <bgColor rgb="FF99CCFF"/>
      </patternFill>
    </fill>
    <fill>
      <patternFill patternType="solid">
        <fgColor rgb="FFE7E6E6"/>
        <bgColor rgb="FFDAE3F3"/>
      </patternFill>
    </fill>
    <fill>
      <patternFill patternType="solid">
        <fgColor rgb="FFFFFFCC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0D0D0"/>
        <bgColor rgb="FFD0D0D0"/>
      </patternFill>
    </fill>
    <fill>
      <patternFill patternType="solid">
        <fgColor rgb="FFCCCCCC"/>
        <bgColor rgb="FFCCCCCC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Dashed">
        <color rgb="FF000000"/>
      </bottom>
      <diagonal/>
    </border>
    <border>
      <left style="medium">
        <color rgb="FF000000"/>
      </left>
      <right style="medium">
        <color rgb="FF000000"/>
      </right>
      <top style="mediumDashed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47" fillId="0" borderId="0" applyFont="0" applyFill="0" applyBorder="0" applyAlignment="0" applyProtection="0"/>
  </cellStyleXfs>
  <cellXfs count="319">
    <xf numFmtId="0" fontId="0" fillId="0" borderId="0" xfId="0"/>
    <xf numFmtId="0" fontId="10" fillId="0" borderId="7" xfId="0" applyFont="1" applyBorder="1" applyAlignment="1">
      <alignment horizontal="center" vertical="center"/>
    </xf>
    <xf numFmtId="0" fontId="1" fillId="0" borderId="0" xfId="0" applyFont="1"/>
    <xf numFmtId="0" fontId="4" fillId="0" borderId="2" xfId="0" applyFont="1" applyBorder="1"/>
    <xf numFmtId="0" fontId="4" fillId="0" borderId="3" xfId="0" applyFont="1" applyBorder="1"/>
    <xf numFmtId="0" fontId="8" fillId="0" borderId="0" xfId="0" applyFont="1"/>
    <xf numFmtId="0" fontId="10" fillId="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2" fillId="0" borderId="9" xfId="0" applyFont="1" applyBorder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0" xfId="0" applyFont="1" applyBorder="1"/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7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3" fillId="8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2" fillId="0" borderId="0" xfId="0" applyFont="1"/>
    <xf numFmtId="3" fontId="25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30" fillId="0" borderId="2" xfId="0" applyFont="1" applyBorder="1"/>
    <xf numFmtId="0" fontId="30" fillId="0" borderId="3" xfId="0" applyFont="1" applyBorder="1"/>
    <xf numFmtId="0" fontId="31" fillId="0" borderId="0" xfId="0" applyFont="1"/>
    <xf numFmtId="0" fontId="28" fillId="0" borderId="0" xfId="0" applyFont="1"/>
    <xf numFmtId="0" fontId="30" fillId="0" borderId="2" xfId="0" applyFont="1" applyBorder="1" applyAlignment="1">
      <alignment vertical="center"/>
    </xf>
    <xf numFmtId="0" fontId="30" fillId="0" borderId="3" xfId="0" applyFont="1" applyBorder="1" applyAlignment="1">
      <alignment vertical="center"/>
    </xf>
    <xf numFmtId="0" fontId="32" fillId="0" borderId="0" xfId="0" applyFont="1"/>
    <xf numFmtId="0" fontId="22" fillId="0" borderId="9" xfId="0" applyFont="1" applyBorder="1"/>
    <xf numFmtId="0" fontId="22" fillId="0" borderId="10" xfId="0" applyFont="1" applyBorder="1"/>
    <xf numFmtId="0" fontId="35" fillId="0" borderId="9" xfId="0" applyFont="1" applyBorder="1"/>
    <xf numFmtId="0" fontId="35" fillId="0" borderId="0" xfId="0" applyFont="1" applyAlignment="1">
      <alignment vertical="center"/>
    </xf>
    <xf numFmtId="0" fontId="35" fillId="0" borderId="0" xfId="0" applyFont="1"/>
    <xf numFmtId="0" fontId="35" fillId="0" borderId="10" xfId="0" applyFont="1" applyBorder="1"/>
    <xf numFmtId="0" fontId="37" fillId="9" borderId="5" xfId="0" applyFont="1" applyFill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right" vertical="center"/>
    </xf>
    <xf numFmtId="0" fontId="22" fillId="0" borderId="7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37" fillId="9" borderId="18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45" fillId="14" borderId="24" xfId="0" applyFont="1" applyFill="1" applyBorder="1" applyAlignment="1">
      <alignment vertical="center"/>
    </xf>
    <xf numFmtId="0" fontId="45" fillId="14" borderId="24" xfId="0" applyFont="1" applyFill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49" fillId="0" borderId="0" xfId="0" applyFont="1"/>
    <xf numFmtId="0" fontId="51" fillId="0" borderId="27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3" fillId="0" borderId="0" xfId="0" applyFont="1"/>
    <xf numFmtId="0" fontId="53" fillId="0" borderId="27" xfId="0" applyFont="1" applyBorder="1" applyAlignment="1">
      <alignment horizontal="left" wrapText="1"/>
    </xf>
    <xf numFmtId="1" fontId="50" fillId="0" borderId="30" xfId="0" applyNumberFormat="1" applyFont="1" applyBorder="1" applyAlignment="1">
      <alignment horizontal="center" vertical="center" wrapText="1"/>
    </xf>
    <xf numFmtId="0" fontId="50" fillId="0" borderId="30" xfId="0" applyFont="1" applyBorder="1" applyAlignment="1">
      <alignment horizontal="center" wrapText="1"/>
    </xf>
    <xf numFmtId="0" fontId="53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49" fillId="0" borderId="27" xfId="0" applyFont="1" applyBorder="1"/>
    <xf numFmtId="0" fontId="49" fillId="0" borderId="28" xfId="0" applyFont="1" applyBorder="1"/>
    <xf numFmtId="0" fontId="50" fillId="0" borderId="27" xfId="0" applyFont="1" applyBorder="1" applyAlignment="1">
      <alignment horizontal="left" wrapText="1"/>
    </xf>
    <xf numFmtId="0" fontId="50" fillId="0" borderId="35" xfId="0" applyFont="1" applyBorder="1" applyAlignment="1">
      <alignment horizontal="left"/>
    </xf>
    <xf numFmtId="0" fontId="50" fillId="0" borderId="0" xfId="0" applyFont="1" applyAlignment="1">
      <alignment horizontal="left"/>
    </xf>
    <xf numFmtId="0" fontId="49" fillId="0" borderId="35" xfId="0" applyFont="1" applyBorder="1" applyAlignment="1">
      <alignment horizontal="center"/>
    </xf>
    <xf numFmtId="0" fontId="50" fillId="0" borderId="28" xfId="0" applyFont="1" applyBorder="1" applyAlignment="1">
      <alignment horizontal="left"/>
    </xf>
    <xf numFmtId="0" fontId="55" fillId="0" borderId="27" xfId="0" applyFont="1" applyBorder="1" applyAlignment="1">
      <alignment horizontal="left" wrapText="1"/>
    </xf>
    <xf numFmtId="0" fontId="55" fillId="0" borderId="27" xfId="0" applyFont="1" applyBorder="1" applyAlignment="1">
      <alignment wrapText="1"/>
    </xf>
    <xf numFmtId="0" fontId="55" fillId="0" borderId="33" xfId="0" applyFont="1" applyBorder="1" applyAlignment="1">
      <alignment horizontal="center" wrapText="1"/>
    </xf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55" fillId="0" borderId="0" xfId="0" applyFont="1"/>
    <xf numFmtId="0" fontId="55" fillId="0" borderId="29" xfId="0" applyFont="1" applyBorder="1" applyAlignment="1">
      <alignment horizontal="center"/>
    </xf>
    <xf numFmtId="0" fontId="55" fillId="0" borderId="42" xfId="0" applyFont="1" applyBorder="1" applyAlignment="1">
      <alignment horizontal="center"/>
    </xf>
    <xf numFmtId="0" fontId="55" fillId="0" borderId="43" xfId="0" applyFont="1" applyBorder="1"/>
    <xf numFmtId="1" fontId="50" fillId="0" borderId="32" xfId="0" applyNumberFormat="1" applyFont="1" applyBorder="1" applyAlignment="1">
      <alignment horizontal="center" wrapText="1"/>
    </xf>
    <xf numFmtId="0" fontId="50" fillId="0" borderId="32" xfId="0" applyFont="1" applyBorder="1" applyAlignment="1">
      <alignment horizontal="center" wrapText="1"/>
    </xf>
    <xf numFmtId="0" fontId="55" fillId="0" borderId="0" xfId="0" applyFont="1" applyAlignment="1">
      <alignment horizontal="left"/>
    </xf>
    <xf numFmtId="0" fontId="55" fillId="0" borderId="28" xfId="0" applyFont="1" applyBorder="1" applyAlignment="1">
      <alignment horizontal="left"/>
    </xf>
    <xf numFmtId="0" fontId="49" fillId="0" borderId="42" xfId="0" applyFont="1" applyBorder="1" applyAlignment="1">
      <alignment horizontal="center"/>
    </xf>
    <xf numFmtId="0" fontId="49" fillId="0" borderId="32" xfId="0" applyFont="1" applyBorder="1"/>
    <xf numFmtId="0" fontId="50" fillId="0" borderId="26" xfId="0" applyFont="1" applyBorder="1" applyAlignment="1">
      <alignment horizontal="left" wrapText="1"/>
    </xf>
    <xf numFmtId="0" fontId="50" fillId="0" borderId="27" xfId="0" applyFont="1" applyBorder="1" applyAlignment="1">
      <alignment horizontal="left"/>
    </xf>
    <xf numFmtId="0" fontId="49" fillId="0" borderId="35" xfId="0" applyFont="1" applyBorder="1"/>
    <xf numFmtId="20" fontId="29" fillId="7" borderId="11" xfId="0" applyNumberFormat="1" applyFont="1" applyFill="1" applyBorder="1" applyAlignment="1">
      <alignment horizontal="center" vertical="center" wrapText="1"/>
    </xf>
    <xf numFmtId="20" fontId="29" fillId="7" borderId="18" xfId="0" applyNumberFormat="1" applyFont="1" applyFill="1" applyBorder="1" applyAlignment="1">
      <alignment horizontal="center" vertical="center" wrapText="1"/>
    </xf>
    <xf numFmtId="20" fontId="29" fillId="7" borderId="19" xfId="0" applyNumberFormat="1" applyFont="1" applyFill="1" applyBorder="1" applyAlignment="1">
      <alignment horizontal="center" vertical="center" wrapText="1"/>
    </xf>
    <xf numFmtId="20" fontId="29" fillId="7" borderId="20" xfId="0" applyNumberFormat="1" applyFont="1" applyFill="1" applyBorder="1" applyAlignment="1">
      <alignment horizontal="center" vertical="center" wrapText="1"/>
    </xf>
    <xf numFmtId="20" fontId="29" fillId="7" borderId="1" xfId="0" applyNumberFormat="1" applyFont="1" applyFill="1" applyBorder="1" applyAlignment="1">
      <alignment horizontal="center" vertical="center" wrapText="1"/>
    </xf>
    <xf numFmtId="20" fontId="29" fillId="7" borderId="12" xfId="0" applyNumberFormat="1" applyFont="1" applyFill="1" applyBorder="1" applyAlignment="1">
      <alignment horizontal="center" vertical="center" wrapText="1"/>
    </xf>
    <xf numFmtId="0" fontId="37" fillId="9" borderId="11" xfId="0" applyFont="1" applyFill="1" applyBorder="1" applyAlignment="1">
      <alignment horizontal="center" vertical="center" wrapText="1"/>
    </xf>
    <xf numFmtId="0" fontId="37" fillId="9" borderId="18" xfId="0" applyFont="1" applyFill="1" applyBorder="1" applyAlignment="1">
      <alignment horizontal="center" vertical="center" wrapText="1"/>
    </xf>
    <xf numFmtId="0" fontId="37" fillId="9" borderId="19" xfId="0" applyFont="1" applyFill="1" applyBorder="1" applyAlignment="1">
      <alignment horizontal="center" vertical="center" wrapText="1"/>
    </xf>
    <xf numFmtId="0" fontId="37" fillId="9" borderId="20" xfId="0" applyFont="1" applyFill="1" applyBorder="1" applyAlignment="1">
      <alignment horizontal="center" vertical="center" wrapText="1"/>
    </xf>
    <xf numFmtId="0" fontId="37" fillId="9" borderId="2" xfId="0" applyFont="1" applyFill="1" applyBorder="1" applyAlignment="1">
      <alignment horizontal="center" vertical="center" wrapText="1"/>
    </xf>
    <xf numFmtId="0" fontId="37" fillId="9" borderId="7" xfId="0" applyFont="1" applyFill="1" applyBorder="1" applyAlignment="1">
      <alignment horizontal="center" vertical="center" wrapText="1"/>
    </xf>
    <xf numFmtId="0" fontId="37" fillId="9" borderId="3" xfId="0" applyFont="1" applyFill="1" applyBorder="1" applyAlignment="1">
      <alignment horizontal="center" vertical="center" wrapText="1"/>
    </xf>
    <xf numFmtId="0" fontId="37" fillId="9" borderId="21" xfId="0" applyFont="1" applyFill="1" applyBorder="1" applyAlignment="1">
      <alignment horizontal="center" vertical="center" wrapText="1"/>
    </xf>
    <xf numFmtId="0" fontId="37" fillId="9" borderId="22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20" fontId="29" fillId="0" borderId="1" xfId="0" applyNumberFormat="1" applyFont="1" applyBorder="1" applyAlignment="1">
      <alignment horizontal="center" vertical="center" wrapText="1"/>
    </xf>
    <xf numFmtId="20" fontId="29" fillId="0" borderId="12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/>
    </xf>
    <xf numFmtId="0" fontId="43" fillId="0" borderId="12" xfId="0" applyFont="1" applyBorder="1" applyAlignment="1">
      <alignment horizontal="center" vertical="center"/>
    </xf>
    <xf numFmtId="0" fontId="30" fillId="0" borderId="5" xfId="0" applyFont="1" applyBorder="1" applyAlignment="1">
      <alignment horizontal="left" vertical="center"/>
    </xf>
    <xf numFmtId="0" fontId="33" fillId="9" borderId="5" xfId="0" applyFont="1" applyFill="1" applyBorder="1" applyAlignment="1">
      <alignment horizontal="center" vertical="center"/>
    </xf>
    <xf numFmtId="166" fontId="29" fillId="6" borderId="5" xfId="0" applyNumberFormat="1" applyFont="1" applyFill="1" applyBorder="1" applyAlignment="1">
      <alignment horizontal="center" vertical="center"/>
    </xf>
    <xf numFmtId="0" fontId="29" fillId="9" borderId="2" xfId="0" applyFont="1" applyFill="1" applyBorder="1" applyAlignment="1">
      <alignment horizontal="center" vertical="center"/>
    </xf>
    <xf numFmtId="0" fontId="29" fillId="9" borderId="7" xfId="0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34" fillId="9" borderId="2" xfId="0" applyFont="1" applyFill="1" applyBorder="1" applyAlignment="1">
      <alignment horizontal="center" vertical="center"/>
    </xf>
    <xf numFmtId="0" fontId="34" fillId="9" borderId="7" xfId="0" applyFont="1" applyFill="1" applyBorder="1" applyAlignment="1">
      <alignment horizontal="center" vertical="center"/>
    </xf>
    <xf numFmtId="0" fontId="34" fillId="9" borderId="3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34" fillId="9" borderId="5" xfId="0" applyFont="1" applyFill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20" fontId="29" fillId="0" borderId="11" xfId="0" applyNumberFormat="1" applyFont="1" applyBorder="1" applyAlignment="1">
      <alignment horizontal="center" vertical="center" wrapText="1"/>
    </xf>
    <xf numFmtId="20" fontId="29" fillId="0" borderId="18" xfId="0" applyNumberFormat="1" applyFont="1" applyBorder="1" applyAlignment="1">
      <alignment horizontal="center" vertical="center" wrapText="1"/>
    </xf>
    <xf numFmtId="20" fontId="29" fillId="0" borderId="19" xfId="0" applyNumberFormat="1" applyFont="1" applyBorder="1" applyAlignment="1">
      <alignment horizontal="center" vertical="center" wrapText="1"/>
    </xf>
    <xf numFmtId="20" fontId="29" fillId="0" borderId="20" xfId="0" applyNumberFormat="1" applyFont="1" applyBorder="1" applyAlignment="1">
      <alignment horizontal="center" vertical="center" wrapText="1"/>
    </xf>
    <xf numFmtId="20" fontId="29" fillId="7" borderId="21" xfId="0" applyNumberFormat="1" applyFont="1" applyFill="1" applyBorder="1" applyAlignment="1">
      <alignment horizontal="center" vertical="center" wrapText="1"/>
    </xf>
    <xf numFmtId="20" fontId="29" fillId="7" borderId="22" xfId="0" applyNumberFormat="1" applyFont="1" applyFill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29" fillId="6" borderId="5" xfId="0" applyFont="1" applyFill="1" applyBorder="1" applyAlignment="1">
      <alignment horizontal="center" vertical="center"/>
    </xf>
    <xf numFmtId="0" fontId="37" fillId="9" borderId="5" xfId="0" applyFont="1" applyFill="1" applyBorder="1" applyAlignment="1">
      <alignment horizontal="center" vertical="center"/>
    </xf>
    <xf numFmtId="0" fontId="37" fillId="0" borderId="5" xfId="0" applyFont="1" applyBorder="1" applyAlignment="1">
      <alignment horizontal="left" vertical="top"/>
    </xf>
    <xf numFmtId="0" fontId="37" fillId="0" borderId="12" xfId="0" applyFont="1" applyBorder="1" applyAlignment="1">
      <alignment horizontal="left" vertical="top"/>
    </xf>
    <xf numFmtId="0" fontId="40" fillId="0" borderId="2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165" fontId="40" fillId="0" borderId="2" xfId="1" applyNumberFormat="1" applyFont="1" applyBorder="1" applyAlignment="1">
      <alignment vertical="center" wrapText="1"/>
    </xf>
    <xf numFmtId="165" fontId="40" fillId="0" borderId="3" xfId="1" applyNumberFormat="1" applyFont="1" applyBorder="1" applyAlignment="1">
      <alignment vertical="center" wrapText="1"/>
    </xf>
    <xf numFmtId="3" fontId="40" fillId="0" borderId="2" xfId="0" applyNumberFormat="1" applyFont="1" applyBorder="1" applyAlignment="1">
      <alignment horizontal="center" vertical="center" wrapText="1"/>
    </xf>
    <xf numFmtId="3" fontId="40" fillId="0" borderId="3" xfId="0" applyNumberFormat="1" applyFont="1" applyBorder="1" applyAlignment="1">
      <alignment horizontal="center" vertical="center" wrapText="1"/>
    </xf>
    <xf numFmtId="3" fontId="37" fillId="0" borderId="2" xfId="0" applyNumberFormat="1" applyFont="1" applyBorder="1" applyAlignment="1">
      <alignment horizontal="center" vertical="center"/>
    </xf>
    <xf numFmtId="3" fontId="37" fillId="0" borderId="3" xfId="0" applyNumberFormat="1" applyFont="1" applyBorder="1" applyAlignment="1">
      <alignment horizontal="center" vertical="center"/>
    </xf>
    <xf numFmtId="4" fontId="37" fillId="0" borderId="2" xfId="0" applyNumberFormat="1" applyFont="1" applyBorder="1" applyAlignment="1">
      <alignment horizontal="center" vertical="center"/>
    </xf>
    <xf numFmtId="4" fontId="37" fillId="0" borderId="3" xfId="0" applyNumberFormat="1" applyFont="1" applyBorder="1" applyAlignment="1">
      <alignment horizontal="center" vertical="center"/>
    </xf>
    <xf numFmtId="1" fontId="40" fillId="0" borderId="2" xfId="0" applyNumberFormat="1" applyFont="1" applyBorder="1" applyAlignment="1">
      <alignment horizontal="center" vertical="center" wrapText="1"/>
    </xf>
    <xf numFmtId="1" fontId="40" fillId="0" borderId="3" xfId="0" applyNumberFormat="1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165" fontId="40" fillId="0" borderId="5" xfId="1" applyNumberFormat="1" applyFont="1" applyBorder="1" applyAlignment="1">
      <alignment vertical="center" wrapText="1"/>
    </xf>
    <xf numFmtId="4" fontId="37" fillId="0" borderId="5" xfId="0" applyNumberFormat="1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 wrapText="1"/>
    </xf>
    <xf numFmtId="20" fontId="37" fillId="0" borderId="5" xfId="0" applyNumberFormat="1" applyFont="1" applyBorder="1" applyAlignment="1">
      <alignment horizontal="center" vertical="center"/>
    </xf>
    <xf numFmtId="3" fontId="40" fillId="0" borderId="5" xfId="0" applyNumberFormat="1" applyFont="1" applyBorder="1" applyAlignment="1">
      <alignment horizontal="center" vertical="center" wrapText="1"/>
    </xf>
    <xf numFmtId="3" fontId="37" fillId="0" borderId="5" xfId="0" applyNumberFormat="1" applyFont="1" applyBorder="1" applyAlignment="1">
      <alignment horizontal="center" vertical="center"/>
    </xf>
    <xf numFmtId="0" fontId="37" fillId="10" borderId="2" xfId="0" applyFont="1" applyFill="1" applyBorder="1" applyAlignment="1">
      <alignment horizontal="center" vertical="center" wrapText="1"/>
    </xf>
    <xf numFmtId="0" fontId="37" fillId="10" borderId="7" xfId="0" applyFont="1" applyFill="1" applyBorder="1" applyAlignment="1">
      <alignment horizontal="center" vertical="center" wrapText="1"/>
    </xf>
    <xf numFmtId="0" fontId="37" fillId="9" borderId="9" xfId="0" applyFont="1" applyFill="1" applyBorder="1" applyAlignment="1">
      <alignment horizontal="center" vertical="center" wrapText="1"/>
    </xf>
    <xf numFmtId="0" fontId="37" fillId="9" borderId="0" xfId="0" applyFont="1" applyFill="1" applyAlignment="1">
      <alignment horizontal="center" vertical="center" wrapText="1"/>
    </xf>
    <xf numFmtId="0" fontId="37" fillId="9" borderId="10" xfId="0" applyFont="1" applyFill="1" applyBorder="1" applyAlignment="1">
      <alignment horizontal="center" vertical="center" wrapText="1"/>
    </xf>
    <xf numFmtId="0" fontId="37" fillId="9" borderId="11" xfId="0" applyFont="1" applyFill="1" applyBorder="1" applyAlignment="1">
      <alignment horizontal="center" vertical="center"/>
    </xf>
    <xf numFmtId="0" fontId="37" fillId="9" borderId="18" xfId="0" applyFont="1" applyFill="1" applyBorder="1" applyAlignment="1">
      <alignment horizontal="center" vertical="center"/>
    </xf>
    <xf numFmtId="0" fontId="37" fillId="9" borderId="9" xfId="0" applyFont="1" applyFill="1" applyBorder="1" applyAlignment="1">
      <alignment horizontal="center" vertical="center"/>
    </xf>
    <xf numFmtId="0" fontId="37" fillId="9" borderId="10" xfId="0" applyFont="1" applyFill="1" applyBorder="1" applyAlignment="1">
      <alignment horizontal="center" vertical="center"/>
    </xf>
    <xf numFmtId="0" fontId="37" fillId="9" borderId="19" xfId="0" applyFont="1" applyFill="1" applyBorder="1" applyAlignment="1">
      <alignment horizontal="center" vertical="center"/>
    </xf>
    <xf numFmtId="0" fontId="37" fillId="9" borderId="20" xfId="0" applyFont="1" applyFill="1" applyBorder="1" applyAlignment="1">
      <alignment horizontal="center" vertical="center"/>
    </xf>
    <xf numFmtId="3" fontId="25" fillId="0" borderId="5" xfId="0" applyNumberFormat="1" applyFont="1" applyBorder="1" applyAlignment="1">
      <alignment horizontal="center" vertical="center"/>
    </xf>
    <xf numFmtId="21" fontId="25" fillId="0" borderId="5" xfId="0" applyNumberFormat="1" applyFont="1" applyBorder="1" applyAlignment="1">
      <alignment horizontal="center" vertical="center"/>
    </xf>
    <xf numFmtId="0" fontId="25" fillId="12" borderId="2" xfId="0" applyFont="1" applyFill="1" applyBorder="1" applyAlignment="1">
      <alignment horizontal="center" vertical="center" wrapText="1"/>
    </xf>
    <xf numFmtId="0" fontId="25" fillId="12" borderId="7" xfId="0" applyFont="1" applyFill="1" applyBorder="1" applyAlignment="1">
      <alignment horizontal="center" vertical="center" wrapText="1"/>
    </xf>
    <xf numFmtId="0" fontId="25" fillId="12" borderId="3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0" fontId="25" fillId="13" borderId="7" xfId="0" applyFont="1" applyFill="1" applyBorder="1" applyAlignment="1">
      <alignment horizontal="center" vertical="center" wrapText="1"/>
    </xf>
    <xf numFmtId="0" fontId="25" fillId="13" borderId="3" xfId="0" applyFont="1" applyFill="1" applyBorder="1" applyAlignment="1">
      <alignment horizontal="center" vertical="center" wrapText="1"/>
    </xf>
    <xf numFmtId="21" fontId="29" fillId="6" borderId="5" xfId="0" applyNumberFormat="1" applyFont="1" applyFill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7" fillId="9" borderId="5" xfId="0" applyFont="1" applyFill="1" applyBorder="1" applyAlignment="1">
      <alignment horizontal="center" vertical="center" wrapText="1"/>
    </xf>
    <xf numFmtId="0" fontId="37" fillId="11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/>
    </xf>
    <xf numFmtId="0" fontId="7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6" fontId="27" fillId="0" borderId="5" xfId="0" applyNumberFormat="1" applyFont="1" applyBorder="1" applyAlignment="1">
      <alignment horizontal="center" vertical="center"/>
    </xf>
    <xf numFmtId="20" fontId="27" fillId="0" borderId="5" xfId="0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4" fontId="27" fillId="0" borderId="5" xfId="0" applyNumberFormat="1" applyFont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4" fillId="2" borderId="5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6" fontId="10" fillId="6" borderId="5" xfId="0" applyNumberFormat="1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left" vertical="center"/>
    </xf>
    <xf numFmtId="0" fontId="10" fillId="0" borderId="8" xfId="0" applyFont="1" applyBorder="1" applyAlignment="1">
      <alignment horizontal="justify" vertical="center" wrapText="1"/>
    </xf>
    <xf numFmtId="0" fontId="16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8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48" fillId="14" borderId="25" xfId="0" applyFont="1" applyFill="1" applyBorder="1" applyAlignment="1">
      <alignment horizontal="center" vertical="center"/>
    </xf>
    <xf numFmtId="0" fontId="50" fillId="0" borderId="26" xfId="0" applyFont="1" applyBorder="1" applyAlignment="1">
      <alignment horizontal="center"/>
    </xf>
    <xf numFmtId="0" fontId="50" fillId="0" borderId="26" xfId="0" applyFont="1" applyBorder="1" applyAlignment="1">
      <alignment horizontal="center" vertical="center" wrapText="1"/>
    </xf>
    <xf numFmtId="0" fontId="48" fillId="15" borderId="26" xfId="0" applyFont="1" applyFill="1" applyBorder="1" applyAlignment="1">
      <alignment horizontal="center" vertical="center"/>
    </xf>
    <xf numFmtId="0" fontId="53" fillId="0" borderId="26" xfId="0" applyFont="1" applyBorder="1" applyAlignment="1">
      <alignment horizontal="left" wrapText="1"/>
    </xf>
    <xf numFmtId="0" fontId="53" fillId="0" borderId="0" xfId="0" applyFont="1" applyAlignment="1">
      <alignment horizontal="center" wrapText="1"/>
    </xf>
    <xf numFmtId="0" fontId="53" fillId="0" borderId="28" xfId="0" applyFont="1" applyBorder="1" applyAlignment="1">
      <alignment horizontal="center"/>
    </xf>
    <xf numFmtId="0" fontId="0" fillId="0" borderId="0" xfId="0"/>
    <xf numFmtId="0" fontId="53" fillId="0" borderId="26" xfId="0" applyFont="1" applyBorder="1" applyAlignment="1">
      <alignment wrapText="1"/>
    </xf>
    <xf numFmtId="0" fontId="48" fillId="0" borderId="26" xfId="0" applyFont="1" applyBorder="1" applyAlignment="1">
      <alignment horizontal="center" vertical="center"/>
    </xf>
    <xf numFmtId="0" fontId="0" fillId="0" borderId="26" xfId="0" applyBorder="1"/>
    <xf numFmtId="0" fontId="53" fillId="0" borderId="27" xfId="0" applyFont="1" applyBorder="1" applyAlignment="1">
      <alignment horizontal="left" wrapText="1"/>
    </xf>
    <xf numFmtId="0" fontId="48" fillId="0" borderId="29" xfId="0" applyFont="1" applyBorder="1" applyAlignment="1">
      <alignment horizontal="center"/>
    </xf>
    <xf numFmtId="0" fontId="54" fillId="0" borderId="32" xfId="0" applyFont="1" applyBorder="1" applyAlignment="1">
      <alignment horizontal="center"/>
    </xf>
    <xf numFmtId="0" fontId="54" fillId="0" borderId="33" xfId="0" applyFont="1" applyBorder="1" applyAlignment="1">
      <alignment horizontal="center"/>
    </xf>
    <xf numFmtId="0" fontId="55" fillId="0" borderId="34" xfId="0" applyFont="1" applyBorder="1" applyAlignment="1">
      <alignment horizontal="center"/>
    </xf>
    <xf numFmtId="0" fontId="53" fillId="0" borderId="27" xfId="0" applyFont="1" applyBorder="1"/>
    <xf numFmtId="0" fontId="54" fillId="0" borderId="32" xfId="0" applyFont="1" applyBorder="1"/>
    <xf numFmtId="0" fontId="54" fillId="0" borderId="29" xfId="0" applyFont="1" applyBorder="1"/>
    <xf numFmtId="0" fontId="53" fillId="0" borderId="27" xfId="0" applyFont="1" applyBorder="1" applyAlignment="1">
      <alignment horizontal="left" vertical="center" wrapText="1"/>
    </xf>
    <xf numFmtId="21" fontId="54" fillId="0" borderId="29" xfId="0" applyNumberFormat="1" applyFont="1" applyBorder="1"/>
    <xf numFmtId="49" fontId="54" fillId="0" borderId="29" xfId="0" applyNumberFormat="1" applyFont="1" applyBorder="1"/>
    <xf numFmtId="0" fontId="50" fillId="0" borderId="27" xfId="0" applyFont="1" applyBorder="1" applyAlignment="1">
      <alignment horizontal="left" wrapText="1"/>
    </xf>
    <xf numFmtId="0" fontId="49" fillId="0" borderId="36" xfId="0" applyFont="1" applyBorder="1"/>
    <xf numFmtId="0" fontId="0" fillId="0" borderId="36" xfId="0" applyBorder="1"/>
    <xf numFmtId="0" fontId="0" fillId="0" borderId="37" xfId="0" applyBorder="1"/>
    <xf numFmtId="0" fontId="50" fillId="0" borderId="28" xfId="0" applyFont="1" applyBorder="1" applyAlignment="1">
      <alignment horizontal="center" vertical="center"/>
    </xf>
    <xf numFmtId="0" fontId="0" fillId="0" borderId="30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5" fillId="14" borderId="41" xfId="0" applyFont="1" applyFill="1" applyBorder="1" applyAlignment="1">
      <alignment horizontal="center" vertical="center"/>
    </xf>
    <xf numFmtId="0" fontId="55" fillId="0" borderId="33" xfId="0" applyFont="1" applyBorder="1" applyAlignment="1">
      <alignment horizontal="center"/>
    </xf>
    <xf numFmtId="0" fontId="55" fillId="0" borderId="34" xfId="0" applyFont="1" applyBorder="1" applyAlignment="1">
      <alignment horizontal="center" vertical="center"/>
    </xf>
    <xf numFmtId="0" fontId="48" fillId="0" borderId="35" xfId="0" applyFont="1" applyBorder="1" applyAlignment="1">
      <alignment horizontal="center" vertical="center"/>
    </xf>
    <xf numFmtId="0" fontId="55" fillId="0" borderId="29" xfId="0" applyFont="1" applyBorder="1" applyAlignment="1">
      <alignment horizontal="center"/>
    </xf>
    <xf numFmtId="0" fontId="55" fillId="0" borderId="27" xfId="0" applyFont="1" applyBorder="1" applyAlignment="1">
      <alignment horizontal="left"/>
    </xf>
    <xf numFmtId="166" fontId="55" fillId="0" borderId="32" xfId="0" applyNumberFormat="1" applyFont="1" applyBorder="1" applyAlignment="1">
      <alignment horizontal="center"/>
    </xf>
    <xf numFmtId="0" fontId="55" fillId="0" borderId="42" xfId="0" applyFont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55" fillId="0" borderId="32" xfId="0" applyFont="1" applyBorder="1" applyAlignment="1">
      <alignment horizontal="center"/>
    </xf>
    <xf numFmtId="0" fontId="50" fillId="0" borderId="29" xfId="0" applyFont="1" applyBorder="1" applyAlignment="1">
      <alignment horizontal="center"/>
    </xf>
    <xf numFmtId="0" fontId="50" fillId="0" borderId="29" xfId="0" applyFont="1" applyBorder="1" applyAlignment="1">
      <alignment horizontal="left"/>
    </xf>
    <xf numFmtId="0" fontId="50" fillId="0" borderId="29" xfId="0" applyFont="1" applyBorder="1" applyAlignment="1">
      <alignment horizontal="center" wrapText="1"/>
    </xf>
    <xf numFmtId="0" fontId="50" fillId="0" borderId="31" xfId="0" applyFont="1" applyBorder="1" applyAlignment="1">
      <alignment horizontal="center"/>
    </xf>
    <xf numFmtId="0" fontId="0" fillId="0" borderId="44" xfId="0" applyBorder="1"/>
    <xf numFmtId="166" fontId="50" fillId="0" borderId="46" xfId="0" applyNumberFormat="1" applyFont="1" applyBorder="1" applyAlignment="1">
      <alignment horizontal="left"/>
    </xf>
    <xf numFmtId="166" fontId="50" fillId="0" borderId="45" xfId="0" applyNumberFormat="1" applyFont="1" applyBorder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E7E6E6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77040</xdr:colOff>
      <xdr:row>0</xdr:row>
      <xdr:rowOff>133200</xdr:rowOff>
    </xdr:from>
    <xdr:to>
      <xdr:col>1</xdr:col>
      <xdr:colOff>560160</xdr:colOff>
      <xdr:row>1</xdr:row>
      <xdr:rowOff>174960</xdr:rowOff>
    </xdr:to>
    <xdr:pic>
      <xdr:nvPicPr>
        <xdr:cNvPr id="2" name="Imagem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7040" y="133200"/>
          <a:ext cx="1349280" cy="22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130320</xdr:colOff>
      <xdr:row>69</xdr:row>
      <xdr:rowOff>156600</xdr:rowOff>
    </xdr:from>
    <xdr:to>
      <xdr:col>10</xdr:col>
      <xdr:colOff>247320</xdr:colOff>
      <xdr:row>90</xdr:row>
      <xdr:rowOff>148680</xdr:rowOff>
    </xdr:to>
    <xdr:pic>
      <xdr:nvPicPr>
        <xdr:cNvPr id="3" name="Imagem 2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t="1015" b="40953"/>
        <a:stretch/>
      </xdr:blipFill>
      <xdr:spPr>
        <a:xfrm>
          <a:off x="130320" y="20311560"/>
          <a:ext cx="7185960" cy="359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36420</xdr:colOff>
      <xdr:row>73</xdr:row>
      <xdr:rowOff>44400</xdr:rowOff>
    </xdr:from>
    <xdr:to>
      <xdr:col>24</xdr:col>
      <xdr:colOff>329340</xdr:colOff>
      <xdr:row>84</xdr:row>
      <xdr:rowOff>82920</xdr:rowOff>
    </xdr:to>
    <xdr:pic>
      <xdr:nvPicPr>
        <xdr:cNvPr id="4" name="Imagem 5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rcRect t="60127" b="4644"/>
        <a:stretch/>
      </xdr:blipFill>
      <xdr:spPr>
        <a:xfrm>
          <a:off x="9383620" y="21228000"/>
          <a:ext cx="6084120" cy="199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4320</xdr:colOff>
      <xdr:row>86</xdr:row>
      <xdr:rowOff>71640</xdr:rowOff>
    </xdr:from>
    <xdr:to>
      <xdr:col>25</xdr:col>
      <xdr:colOff>24360</xdr:colOff>
      <xdr:row>87</xdr:row>
      <xdr:rowOff>3600</xdr:rowOff>
    </xdr:to>
    <xdr:pic>
      <xdr:nvPicPr>
        <xdr:cNvPr id="5" name="Imagem 5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/>
        <a:srcRect t="95810"/>
        <a:stretch/>
      </xdr:blipFill>
      <xdr:spPr>
        <a:xfrm>
          <a:off x="9832680" y="23141160"/>
          <a:ext cx="6947280" cy="103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88220</xdr:colOff>
      <xdr:row>0</xdr:row>
      <xdr:rowOff>76200</xdr:rowOff>
    </xdr:from>
    <xdr:to>
      <xdr:col>1</xdr:col>
      <xdr:colOff>965200</xdr:colOff>
      <xdr:row>2</xdr:row>
      <xdr:rowOff>139700</xdr:rowOff>
    </xdr:to>
    <xdr:pic>
      <xdr:nvPicPr>
        <xdr:cNvPr id="4" name="Imagem 3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l="-143" t="-722" r="31298" b="-722"/>
        <a:stretch/>
      </xdr:blipFill>
      <xdr:spPr>
        <a:xfrm>
          <a:off x="88220" y="76200"/>
          <a:ext cx="1956480" cy="4191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ristina.monteiro\Downloads\08%20-%20AGOSTO%20-%20PINTOS%20(4).xlsx" TargetMode="External"/><Relationship Id="rId1" Type="http://schemas.openxmlformats.org/officeDocument/2006/relationships/externalLinkPath" Target="file:///C:\Users\cristina.monteiro\Downloads\08%20-%20AGOSTO%20-%20PINTOS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MOTORISTAS"/>
      <sheetName val="01"/>
      <sheetName val="02"/>
      <sheetName val="03.08.2026"/>
      <sheetName val="04.08.2026"/>
      <sheetName val="05.08.2026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ipo Veículo"/>
      <sheetName val="Modelagem Preço"/>
    </sheetNames>
    <sheetDataSet>
      <sheetData sheetId="0"/>
      <sheetData sheetId="1"/>
      <sheetData sheetId="2"/>
      <sheetData sheetId="3"/>
      <sheetData sheetId="4"/>
      <sheetData sheetId="5">
        <row r="12">
          <cell r="F12" t="str">
            <v>VANDER NUNES MEGALE</v>
          </cell>
          <cell r="J12" t="str">
            <v>zona rural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71"/>
  <sheetViews>
    <sheetView tabSelected="1" topLeftCell="A41" zoomScale="62" zoomScaleNormal="62" workbookViewId="0">
      <selection activeCell="X50" sqref="X50:Z50"/>
    </sheetView>
  </sheetViews>
  <sheetFormatPr defaultColWidth="8.7109375" defaultRowHeight="12.75"/>
  <cols>
    <col min="1" max="1" width="12.28515625" style="2" customWidth="1"/>
    <col min="2" max="2" width="13.5703125" style="2" customWidth="1"/>
    <col min="3" max="3" width="11.140625" style="2" customWidth="1"/>
    <col min="4" max="4" width="8.28515625" style="2" customWidth="1"/>
    <col min="5" max="5" width="8.85546875" style="2" customWidth="1"/>
    <col min="6" max="6" width="9.42578125" style="2" customWidth="1"/>
    <col min="7" max="7" width="8.28515625" style="2" customWidth="1"/>
    <col min="8" max="8" width="10.5703125" style="2" customWidth="1"/>
    <col min="9" max="9" width="11.42578125" style="2" customWidth="1"/>
    <col min="10" max="11" width="6.42578125" style="2" customWidth="1"/>
    <col min="12" max="14" width="6.28515625" style="2" customWidth="1"/>
    <col min="15" max="15" width="5.85546875" style="2" customWidth="1"/>
    <col min="16" max="16" width="8" style="2" customWidth="1"/>
    <col min="17" max="17" width="13.7109375" style="2" customWidth="1"/>
    <col min="18" max="18" width="6.7109375" style="2" customWidth="1"/>
    <col min="19" max="19" width="9.140625" style="2" customWidth="1"/>
    <col min="20" max="20" width="16.85546875" style="2" customWidth="1"/>
    <col min="21" max="21" width="8.85546875" style="2" customWidth="1"/>
    <col min="22" max="22" width="7.85546875" style="2" customWidth="1"/>
    <col min="23" max="23" width="9.28515625" style="2" customWidth="1"/>
    <col min="24" max="24" width="14.28515625" style="2" customWidth="1"/>
    <col min="25" max="25" width="11.85546875" style="2" customWidth="1"/>
    <col min="26" max="26" width="26.140625" style="2" customWidth="1"/>
    <col min="27" max="260" width="8.7109375" style="2"/>
    <col min="261" max="261" width="20.140625" style="2" customWidth="1"/>
    <col min="262" max="262" width="18.85546875" style="2" customWidth="1"/>
    <col min="263" max="263" width="10" style="2" customWidth="1"/>
    <col min="264" max="266" width="10.85546875" style="2" customWidth="1"/>
    <col min="267" max="268" width="9.7109375" style="2" customWidth="1"/>
    <col min="269" max="270" width="9.42578125" style="2" customWidth="1"/>
    <col min="271" max="272" width="9.28515625" style="2" customWidth="1"/>
    <col min="273" max="273" width="9.42578125" style="2" customWidth="1"/>
    <col min="274" max="274" width="10.42578125" style="2" customWidth="1"/>
    <col min="275" max="277" width="9" style="2" customWidth="1"/>
    <col min="278" max="279" width="8.85546875" style="2" customWidth="1"/>
    <col min="280" max="281" width="9.42578125" style="2" customWidth="1"/>
    <col min="282" max="282" width="12.28515625" style="2" customWidth="1"/>
    <col min="283" max="516" width="8.7109375" style="2"/>
    <col min="517" max="517" width="20.140625" style="2" customWidth="1"/>
    <col min="518" max="518" width="18.85546875" style="2" customWidth="1"/>
    <col min="519" max="519" width="10" style="2" customWidth="1"/>
    <col min="520" max="522" width="10.85546875" style="2" customWidth="1"/>
    <col min="523" max="524" width="9.7109375" style="2" customWidth="1"/>
    <col min="525" max="526" width="9.42578125" style="2" customWidth="1"/>
    <col min="527" max="528" width="9.28515625" style="2" customWidth="1"/>
    <col min="529" max="529" width="9.42578125" style="2" customWidth="1"/>
    <col min="530" max="530" width="10.42578125" style="2" customWidth="1"/>
    <col min="531" max="533" width="9" style="2" customWidth="1"/>
    <col min="534" max="535" width="8.85546875" style="2" customWidth="1"/>
    <col min="536" max="537" width="9.42578125" style="2" customWidth="1"/>
    <col min="538" max="538" width="12.28515625" style="2" customWidth="1"/>
    <col min="539" max="772" width="8.7109375" style="2"/>
    <col min="773" max="773" width="20.140625" style="2" customWidth="1"/>
    <col min="774" max="774" width="18.85546875" style="2" customWidth="1"/>
    <col min="775" max="775" width="10" style="2" customWidth="1"/>
    <col min="776" max="778" width="10.85546875" style="2" customWidth="1"/>
    <col min="779" max="780" width="9.7109375" style="2" customWidth="1"/>
    <col min="781" max="782" width="9.42578125" style="2" customWidth="1"/>
    <col min="783" max="784" width="9.28515625" style="2" customWidth="1"/>
    <col min="785" max="785" width="9.42578125" style="2" customWidth="1"/>
    <col min="786" max="786" width="10.42578125" style="2" customWidth="1"/>
    <col min="787" max="789" width="9" style="2" customWidth="1"/>
    <col min="790" max="791" width="8.85546875" style="2" customWidth="1"/>
    <col min="792" max="793" width="9.42578125" style="2" customWidth="1"/>
    <col min="794" max="794" width="12.28515625" style="2" customWidth="1"/>
    <col min="795" max="1024" width="8.7109375" style="2"/>
  </cols>
  <sheetData>
    <row r="1" spans="1:26" ht="14.25" customHeight="1">
      <c r="A1" s="213"/>
      <c r="B1" s="213"/>
      <c r="C1" s="214" t="s">
        <v>0</v>
      </c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3" t="s">
        <v>1</v>
      </c>
      <c r="X1" s="3"/>
      <c r="Y1" s="3"/>
      <c r="Z1" s="4"/>
    </row>
    <row r="2" spans="1:26" ht="14.25" customHeight="1">
      <c r="A2" s="213"/>
      <c r="B2" s="213"/>
      <c r="C2" s="215" t="s">
        <v>2</v>
      </c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3" t="s">
        <v>3</v>
      </c>
      <c r="X2" s="3"/>
      <c r="Y2" s="3"/>
      <c r="Z2" s="4"/>
    </row>
    <row r="3" spans="1:26" ht="14.25" customHeight="1">
      <c r="A3" s="213"/>
      <c r="B3" s="213"/>
      <c r="C3" s="216" t="s">
        <v>4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7" t="s">
        <v>5</v>
      </c>
      <c r="X3" s="217"/>
      <c r="Y3" s="217"/>
      <c r="Z3" s="217"/>
    </row>
    <row r="4" spans="1:26" s="5" customFormat="1" ht="13.5" customHeight="1">
      <c r="A4" s="218" t="s">
        <v>6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spans="1:26" ht="19.5" customHeight="1">
      <c r="A5" s="219" t="s">
        <v>7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 spans="1:26" ht="8.25" customHeight="1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27.75" customHeight="1">
      <c r="A7" s="6" t="s">
        <v>8</v>
      </c>
      <c r="B7" s="42" t="s">
        <v>9</v>
      </c>
      <c r="C7" s="220"/>
      <c r="D7" s="220"/>
      <c r="E7" s="220"/>
      <c r="F7" s="42" t="s">
        <v>10</v>
      </c>
      <c r="G7" s="221">
        <v>375</v>
      </c>
      <c r="H7" s="221"/>
      <c r="I7" s="224" t="s">
        <v>11</v>
      </c>
      <c r="J7" s="225"/>
      <c r="K7" s="226"/>
      <c r="L7" s="227"/>
      <c r="M7" s="227"/>
      <c r="N7" s="228" t="s">
        <v>61</v>
      </c>
      <c r="O7" s="228"/>
      <c r="P7" s="222"/>
      <c r="Q7" s="222"/>
      <c r="R7" s="229" t="s">
        <v>12</v>
      </c>
      <c r="S7" s="229"/>
      <c r="T7" s="230"/>
      <c r="U7" s="231"/>
      <c r="V7" s="231"/>
      <c r="W7" s="232"/>
      <c r="X7" s="223" t="s">
        <v>13</v>
      </c>
      <c r="Y7" s="223"/>
      <c r="Z7" s="41" t="s">
        <v>124</v>
      </c>
    </row>
    <row r="8" spans="1:26" ht="27.75" customHeight="1">
      <c r="A8" s="6" t="s">
        <v>14</v>
      </c>
      <c r="B8" s="42" t="s">
        <v>9</v>
      </c>
      <c r="C8" s="233"/>
      <c r="D8" s="233"/>
      <c r="E8" s="233"/>
      <c r="F8" s="42" t="s">
        <v>10</v>
      </c>
      <c r="G8" s="221"/>
      <c r="H8" s="221"/>
      <c r="I8" s="224" t="s">
        <v>11</v>
      </c>
      <c r="J8" s="225"/>
      <c r="K8" s="226"/>
      <c r="L8" s="227"/>
      <c r="M8" s="227"/>
      <c r="N8" s="228" t="s">
        <v>61</v>
      </c>
      <c r="O8" s="228"/>
      <c r="P8" s="222"/>
      <c r="Q8" s="222"/>
      <c r="R8" s="229" t="s">
        <v>12</v>
      </c>
      <c r="S8" s="229"/>
      <c r="T8" s="230"/>
      <c r="U8" s="231"/>
      <c r="V8" s="231"/>
      <c r="W8" s="232"/>
      <c r="X8" s="223" t="s">
        <v>13</v>
      </c>
      <c r="Y8" s="223"/>
      <c r="Z8" s="41" t="s">
        <v>124</v>
      </c>
    </row>
    <row r="9" spans="1:26" ht="33.75" customHeight="1">
      <c r="A9" s="234" t="s">
        <v>15</v>
      </c>
      <c r="B9" s="234"/>
      <c r="C9" s="234"/>
      <c r="D9" s="234"/>
      <c r="E9" s="234"/>
      <c r="F9" s="234"/>
      <c r="G9" s="234"/>
      <c r="H9" s="234"/>
      <c r="I9" s="234"/>
      <c r="J9" s="235" t="s">
        <v>8</v>
      </c>
      <c r="K9" s="235"/>
      <c r="L9" s="235"/>
      <c r="M9" s="235"/>
      <c r="N9" s="236" t="s">
        <v>14</v>
      </c>
      <c r="O9" s="236"/>
      <c r="P9" s="236"/>
      <c r="Q9" s="236"/>
      <c r="R9" s="237" t="s">
        <v>16</v>
      </c>
      <c r="S9" s="237"/>
      <c r="T9" s="237"/>
      <c r="U9" s="238"/>
      <c r="V9" s="237"/>
      <c r="W9" s="237"/>
      <c r="X9" s="238"/>
      <c r="Y9" s="238"/>
      <c r="Z9" s="237"/>
    </row>
    <row r="10" spans="1:26" ht="19.5" customHeight="1">
      <c r="A10" s="230" t="s">
        <v>17</v>
      </c>
      <c r="B10" s="230"/>
      <c r="C10" s="230"/>
      <c r="D10" s="230"/>
      <c r="E10" s="230"/>
      <c r="F10" s="230"/>
      <c r="G10" s="230"/>
      <c r="H10" s="230"/>
      <c r="I10" s="230"/>
      <c r="J10" s="7" t="s">
        <v>18</v>
      </c>
      <c r="K10" s="7" t="s">
        <v>19</v>
      </c>
      <c r="L10" s="7" t="s">
        <v>20</v>
      </c>
      <c r="M10" s="7"/>
      <c r="N10" s="7" t="s">
        <v>18</v>
      </c>
      <c r="O10" s="7" t="s">
        <v>19</v>
      </c>
      <c r="P10" s="7" t="s">
        <v>20</v>
      </c>
      <c r="Q10" s="7"/>
      <c r="R10" s="1"/>
      <c r="S10" s="1"/>
      <c r="T10" s="1"/>
      <c r="U10" s="1"/>
      <c r="V10" s="1"/>
      <c r="W10" s="1"/>
      <c r="X10" s="1"/>
      <c r="Y10" s="1"/>
      <c r="Z10" s="9"/>
    </row>
    <row r="11" spans="1:26" ht="19.5" customHeight="1">
      <c r="A11" s="239" t="s">
        <v>21</v>
      </c>
      <c r="B11" s="239"/>
      <c r="C11" s="239"/>
      <c r="D11" s="239"/>
      <c r="E11" s="239"/>
      <c r="F11" s="239"/>
      <c r="G11" s="239"/>
      <c r="H11" s="239"/>
      <c r="I11" s="239"/>
      <c r="J11" s="7" t="s">
        <v>18</v>
      </c>
      <c r="K11" s="7" t="s">
        <v>19</v>
      </c>
      <c r="L11" s="7" t="s">
        <v>20</v>
      </c>
      <c r="M11" s="7"/>
      <c r="N11" s="7" t="s">
        <v>18</v>
      </c>
      <c r="O11" s="7" t="s">
        <v>19</v>
      </c>
      <c r="P11" s="7" t="s">
        <v>20</v>
      </c>
      <c r="Q11" s="7"/>
      <c r="R11" s="1"/>
      <c r="S11" s="1"/>
      <c r="T11" s="1"/>
      <c r="U11" s="1"/>
      <c r="V11" s="1"/>
      <c r="W11" s="1"/>
      <c r="X11" s="1"/>
      <c r="Y11" s="1"/>
      <c r="Z11" s="9"/>
    </row>
    <row r="12" spans="1:26" ht="19.5" customHeight="1">
      <c r="A12" s="239" t="s">
        <v>22</v>
      </c>
      <c r="B12" s="239"/>
      <c r="C12" s="239"/>
      <c r="D12" s="239"/>
      <c r="E12" s="239"/>
      <c r="F12" s="239"/>
      <c r="G12" s="239"/>
      <c r="H12" s="239"/>
      <c r="I12" s="239"/>
      <c r="J12" s="7" t="s">
        <v>18</v>
      </c>
      <c r="K12" s="7" t="s">
        <v>19</v>
      </c>
      <c r="L12" s="7" t="s">
        <v>20</v>
      </c>
      <c r="M12" s="7"/>
      <c r="N12" s="7" t="s">
        <v>18</v>
      </c>
      <c r="O12" s="7" t="s">
        <v>19</v>
      </c>
      <c r="P12" s="7" t="s">
        <v>20</v>
      </c>
      <c r="Q12" s="7"/>
      <c r="R12" s="1"/>
      <c r="S12" s="1"/>
      <c r="T12" s="1"/>
      <c r="U12" s="1"/>
      <c r="V12" s="1"/>
      <c r="W12" s="1"/>
      <c r="X12" s="1"/>
      <c r="Y12" s="1"/>
      <c r="Z12" s="9"/>
    </row>
    <row r="13" spans="1:26" ht="19.5" customHeight="1">
      <c r="A13" s="239" t="s">
        <v>23</v>
      </c>
      <c r="B13" s="239"/>
      <c r="C13" s="239"/>
      <c r="D13" s="239"/>
      <c r="E13" s="239"/>
      <c r="F13" s="239"/>
      <c r="G13" s="239"/>
      <c r="H13" s="239"/>
      <c r="I13" s="239"/>
      <c r="J13" s="7" t="s">
        <v>18</v>
      </c>
      <c r="K13" s="7" t="s">
        <v>19</v>
      </c>
      <c r="L13" s="7" t="s">
        <v>20</v>
      </c>
      <c r="M13" s="7"/>
      <c r="N13" s="7" t="s">
        <v>18</v>
      </c>
      <c r="O13" s="7" t="s">
        <v>19</v>
      </c>
      <c r="P13" s="7" t="s">
        <v>20</v>
      </c>
      <c r="Q13" s="7"/>
      <c r="R13" s="1"/>
      <c r="S13" s="1"/>
      <c r="T13" s="1"/>
      <c r="U13" s="1"/>
      <c r="V13" s="1"/>
      <c r="W13" s="1"/>
      <c r="X13" s="1"/>
      <c r="Y13" s="1"/>
      <c r="Z13" s="9"/>
    </row>
    <row r="14" spans="1:26" ht="19.5" customHeight="1">
      <c r="A14" s="240" t="s">
        <v>24</v>
      </c>
      <c r="B14" s="240"/>
      <c r="C14" s="240"/>
      <c r="D14" s="240"/>
      <c r="E14" s="240"/>
      <c r="F14" s="240"/>
      <c r="G14" s="240"/>
      <c r="H14" s="240"/>
      <c r="I14" s="240"/>
      <c r="J14" s="239" t="s">
        <v>8</v>
      </c>
      <c r="K14" s="239"/>
      <c r="L14" s="239"/>
      <c r="M14" s="239"/>
      <c r="N14" s="239" t="s">
        <v>14</v>
      </c>
      <c r="O14" s="239"/>
      <c r="P14" s="239"/>
      <c r="Q14" s="239" t="s">
        <v>25</v>
      </c>
      <c r="R14" s="241" t="s">
        <v>16</v>
      </c>
      <c r="S14" s="242"/>
      <c r="T14" s="242"/>
      <c r="U14" s="242"/>
      <c r="V14" s="242"/>
      <c r="W14" s="242"/>
      <c r="X14" s="242"/>
      <c r="Y14" s="242"/>
      <c r="Z14" s="242"/>
    </row>
    <row r="15" spans="1:26" ht="19.5" customHeight="1">
      <c r="A15" s="239" t="s">
        <v>26</v>
      </c>
      <c r="B15" s="239"/>
      <c r="C15" s="239"/>
      <c r="D15" s="239"/>
      <c r="E15" s="239"/>
      <c r="F15" s="239"/>
      <c r="G15" s="239"/>
      <c r="H15" s="239"/>
      <c r="I15" s="239"/>
      <c r="J15" s="7" t="s">
        <v>18</v>
      </c>
      <c r="K15" s="7" t="s">
        <v>19</v>
      </c>
      <c r="L15" s="7" t="s">
        <v>20</v>
      </c>
      <c r="M15" s="7"/>
      <c r="N15" s="7" t="s">
        <v>18</v>
      </c>
      <c r="O15" s="7" t="s">
        <v>19</v>
      </c>
      <c r="P15" s="7" t="s">
        <v>20</v>
      </c>
      <c r="Q15" s="7"/>
      <c r="R15" s="1"/>
      <c r="S15" s="1"/>
      <c r="T15" s="1"/>
      <c r="U15" s="1"/>
      <c r="V15" s="1"/>
      <c r="W15" s="1"/>
      <c r="X15" s="1"/>
      <c r="Y15" s="1"/>
      <c r="Z15" s="9"/>
    </row>
    <row r="16" spans="1:26" ht="19.5" customHeight="1">
      <c r="A16" s="239" t="s">
        <v>27</v>
      </c>
      <c r="B16" s="239"/>
      <c r="C16" s="239"/>
      <c r="D16" s="239"/>
      <c r="E16" s="239"/>
      <c r="F16" s="239"/>
      <c r="G16" s="239"/>
      <c r="H16" s="239"/>
      <c r="I16" s="239"/>
      <c r="J16" s="7" t="s">
        <v>18</v>
      </c>
      <c r="K16" s="7" t="s">
        <v>19</v>
      </c>
      <c r="L16" s="7" t="s">
        <v>20</v>
      </c>
      <c r="M16" s="7"/>
      <c r="N16" s="7" t="s">
        <v>18</v>
      </c>
      <c r="O16" s="7" t="s">
        <v>19</v>
      </c>
      <c r="P16" s="7" t="s">
        <v>20</v>
      </c>
      <c r="Q16" s="7"/>
      <c r="R16" s="1"/>
      <c r="S16" s="1"/>
      <c r="T16" s="1"/>
      <c r="U16" s="1"/>
      <c r="V16" s="1"/>
      <c r="W16" s="1"/>
      <c r="X16" s="1"/>
      <c r="Y16" s="1"/>
      <c r="Z16" s="9"/>
    </row>
    <row r="17" spans="1:26" ht="19.5" customHeight="1">
      <c r="A17" s="239" t="s">
        <v>28</v>
      </c>
      <c r="B17" s="239"/>
      <c r="C17" s="239"/>
      <c r="D17" s="239"/>
      <c r="E17" s="239"/>
      <c r="F17" s="239"/>
      <c r="G17" s="239"/>
      <c r="H17" s="239"/>
      <c r="I17" s="239"/>
      <c r="J17" s="7" t="s">
        <v>18</v>
      </c>
      <c r="K17" s="7" t="s">
        <v>19</v>
      </c>
      <c r="L17" s="7" t="s">
        <v>20</v>
      </c>
      <c r="M17" s="7"/>
      <c r="N17" s="7" t="s">
        <v>18</v>
      </c>
      <c r="O17" s="7" t="s">
        <v>19</v>
      </c>
      <c r="P17" s="7" t="s">
        <v>20</v>
      </c>
      <c r="Q17" s="7"/>
      <c r="R17" s="1"/>
      <c r="S17" s="1"/>
      <c r="T17" s="1"/>
      <c r="U17" s="1"/>
      <c r="V17" s="1"/>
      <c r="W17" s="1"/>
      <c r="X17" s="1"/>
      <c r="Y17" s="1"/>
      <c r="Z17" s="9"/>
    </row>
    <row r="18" spans="1:26" ht="19.5" customHeight="1">
      <c r="A18" s="239" t="s">
        <v>29</v>
      </c>
      <c r="B18" s="239"/>
      <c r="C18" s="239"/>
      <c r="D18" s="239"/>
      <c r="E18" s="239"/>
      <c r="F18" s="239"/>
      <c r="G18" s="239"/>
      <c r="H18" s="239"/>
      <c r="I18" s="239"/>
      <c r="J18" s="7" t="s">
        <v>18</v>
      </c>
      <c r="K18" s="7" t="s">
        <v>19</v>
      </c>
      <c r="L18" s="7" t="s">
        <v>20</v>
      </c>
      <c r="M18" s="7"/>
      <c r="N18" s="7" t="s">
        <v>18</v>
      </c>
      <c r="O18" s="7" t="s">
        <v>19</v>
      </c>
      <c r="P18" s="7" t="s">
        <v>20</v>
      </c>
      <c r="Q18" s="7"/>
      <c r="R18" s="1"/>
      <c r="S18" s="1"/>
      <c r="T18" s="1"/>
      <c r="U18" s="1"/>
      <c r="V18" s="1"/>
      <c r="W18" s="1"/>
      <c r="X18" s="1"/>
      <c r="Y18" s="1"/>
      <c r="Z18" s="9"/>
    </row>
    <row r="19" spans="1:26" ht="19.5" customHeight="1">
      <c r="A19" s="239" t="s">
        <v>30</v>
      </c>
      <c r="B19" s="239"/>
      <c r="C19" s="239"/>
      <c r="D19" s="239"/>
      <c r="E19" s="239"/>
      <c r="F19" s="239"/>
      <c r="G19" s="239"/>
      <c r="H19" s="239"/>
      <c r="I19" s="239"/>
      <c r="J19" s="7" t="s">
        <v>18</v>
      </c>
      <c r="K19" s="7" t="s">
        <v>19</v>
      </c>
      <c r="L19" s="7" t="s">
        <v>20</v>
      </c>
      <c r="M19" s="7"/>
      <c r="N19" s="7" t="s">
        <v>18</v>
      </c>
      <c r="O19" s="7" t="s">
        <v>19</v>
      </c>
      <c r="P19" s="7" t="s">
        <v>20</v>
      </c>
      <c r="Q19" s="7"/>
      <c r="R19" s="1"/>
      <c r="S19" s="1"/>
      <c r="T19" s="1"/>
      <c r="U19" s="1"/>
      <c r="V19" s="1"/>
      <c r="W19" s="1"/>
      <c r="X19" s="1"/>
      <c r="Y19" s="1"/>
      <c r="Z19" s="9"/>
    </row>
    <row r="20" spans="1:26" ht="19.5" customHeight="1">
      <c r="A20" s="243" t="s">
        <v>31</v>
      </c>
      <c r="B20" s="243"/>
      <c r="C20" s="243"/>
      <c r="D20" s="243"/>
      <c r="E20" s="243"/>
      <c r="F20" s="243"/>
      <c r="G20" s="243"/>
      <c r="H20" s="243"/>
      <c r="I20" s="243"/>
      <c r="J20" s="239" t="s">
        <v>8</v>
      </c>
      <c r="K20" s="239"/>
      <c r="L20" s="239"/>
      <c r="M20" s="239"/>
      <c r="N20" s="239" t="s">
        <v>14</v>
      </c>
      <c r="O20" s="239"/>
      <c r="P20" s="239"/>
      <c r="Q20" s="239" t="s">
        <v>25</v>
      </c>
      <c r="R20" s="241" t="s">
        <v>16</v>
      </c>
      <c r="S20" s="242"/>
      <c r="T20" s="242"/>
      <c r="U20" s="242"/>
      <c r="V20" s="242"/>
      <c r="W20" s="242"/>
      <c r="X20" s="242"/>
      <c r="Y20" s="242"/>
      <c r="Z20" s="242"/>
    </row>
    <row r="21" spans="1:26" ht="19.5" customHeight="1">
      <c r="A21" s="239" t="s">
        <v>32</v>
      </c>
      <c r="B21" s="239"/>
      <c r="C21" s="239"/>
      <c r="D21" s="239"/>
      <c r="E21" s="239"/>
      <c r="F21" s="239"/>
      <c r="G21" s="239"/>
      <c r="H21" s="239"/>
      <c r="I21" s="239"/>
      <c r="J21" s="7" t="s">
        <v>18</v>
      </c>
      <c r="K21" s="7" t="s">
        <v>19</v>
      </c>
      <c r="L21" s="7" t="s">
        <v>20</v>
      </c>
      <c r="M21" s="7"/>
      <c r="N21" s="7" t="s">
        <v>18</v>
      </c>
      <c r="O21" s="7" t="s">
        <v>19</v>
      </c>
      <c r="P21" s="7" t="s">
        <v>20</v>
      </c>
      <c r="Q21" s="7"/>
      <c r="R21" s="1"/>
      <c r="S21" s="1"/>
      <c r="T21" s="1"/>
      <c r="U21" s="1"/>
      <c r="V21" s="1"/>
      <c r="W21" s="1"/>
      <c r="X21" s="1"/>
      <c r="Y21" s="1"/>
      <c r="Z21" s="9"/>
    </row>
    <row r="22" spans="1:26" ht="19.5" customHeight="1">
      <c r="A22" s="239" t="s">
        <v>33</v>
      </c>
      <c r="B22" s="239"/>
      <c r="C22" s="239"/>
      <c r="D22" s="239"/>
      <c r="E22" s="239"/>
      <c r="F22" s="239"/>
      <c r="G22" s="239"/>
      <c r="H22" s="239"/>
      <c r="I22" s="239"/>
      <c r="J22" s="7" t="s">
        <v>18</v>
      </c>
      <c r="K22" s="7" t="s">
        <v>19</v>
      </c>
      <c r="L22" s="7" t="s">
        <v>20</v>
      </c>
      <c r="M22" s="7"/>
      <c r="N22" s="7" t="s">
        <v>18</v>
      </c>
      <c r="O22" s="7" t="s">
        <v>19</v>
      </c>
      <c r="P22" s="7" t="s">
        <v>20</v>
      </c>
      <c r="Q22" s="7"/>
      <c r="R22" s="1"/>
      <c r="S22" s="1"/>
      <c r="T22" s="1"/>
      <c r="U22" s="1"/>
      <c r="V22" s="1"/>
      <c r="W22" s="1"/>
      <c r="X22" s="1"/>
      <c r="Y22" s="1"/>
      <c r="Z22" s="9"/>
    </row>
    <row r="23" spans="1:26" ht="19.5" customHeight="1">
      <c r="A23" s="239" t="s">
        <v>34</v>
      </c>
      <c r="B23" s="239"/>
      <c r="C23" s="239"/>
      <c r="D23" s="239"/>
      <c r="E23" s="239"/>
      <c r="F23" s="239"/>
      <c r="G23" s="239"/>
      <c r="H23" s="239"/>
      <c r="I23" s="239"/>
      <c r="J23" s="7" t="s">
        <v>18</v>
      </c>
      <c r="K23" s="7" t="s">
        <v>19</v>
      </c>
      <c r="L23" s="7" t="s">
        <v>20</v>
      </c>
      <c r="M23" s="7"/>
      <c r="N23" s="7" t="s">
        <v>18</v>
      </c>
      <c r="O23" s="7" t="s">
        <v>19</v>
      </c>
      <c r="P23" s="7" t="s">
        <v>20</v>
      </c>
      <c r="Q23" s="7"/>
      <c r="R23" s="1"/>
      <c r="S23" s="1"/>
      <c r="T23" s="1"/>
      <c r="U23" s="1"/>
      <c r="V23" s="1"/>
      <c r="W23" s="1"/>
      <c r="X23" s="1"/>
      <c r="Y23" s="1"/>
      <c r="Z23" s="9"/>
    </row>
    <row r="24" spans="1:26" ht="19.5" customHeight="1">
      <c r="A24" s="239" t="s">
        <v>35</v>
      </c>
      <c r="B24" s="239"/>
      <c r="C24" s="239"/>
      <c r="D24" s="239"/>
      <c r="E24" s="239"/>
      <c r="F24" s="239"/>
      <c r="G24" s="239"/>
      <c r="H24" s="239"/>
      <c r="I24" s="239"/>
      <c r="J24" s="7" t="s">
        <v>18</v>
      </c>
      <c r="K24" s="7" t="s">
        <v>19</v>
      </c>
      <c r="L24" s="7" t="s">
        <v>20</v>
      </c>
      <c r="M24" s="7"/>
      <c r="N24" s="7" t="s">
        <v>18</v>
      </c>
      <c r="O24" s="7" t="s">
        <v>19</v>
      </c>
      <c r="P24" s="7" t="s">
        <v>20</v>
      </c>
      <c r="Q24" s="7"/>
      <c r="R24" s="241"/>
      <c r="S24" s="242"/>
      <c r="T24" s="242"/>
      <c r="U24" s="242"/>
      <c r="V24" s="242"/>
      <c r="W24" s="242"/>
      <c r="X24" s="242"/>
      <c r="Y24" s="242"/>
      <c r="Z24" s="242"/>
    </row>
    <row r="25" spans="1:26" ht="19.5" customHeight="1">
      <c r="A25" s="239" t="s">
        <v>36</v>
      </c>
      <c r="B25" s="239"/>
      <c r="C25" s="239"/>
      <c r="D25" s="239"/>
      <c r="E25" s="239"/>
      <c r="F25" s="239"/>
      <c r="G25" s="239"/>
      <c r="H25" s="239"/>
      <c r="I25" s="239"/>
      <c r="J25" s="7" t="s">
        <v>18</v>
      </c>
      <c r="K25" s="7" t="s">
        <v>19</v>
      </c>
      <c r="L25" s="7" t="s">
        <v>20</v>
      </c>
      <c r="M25" s="7"/>
      <c r="N25" s="7" t="s">
        <v>18</v>
      </c>
      <c r="O25" s="7" t="s">
        <v>19</v>
      </c>
      <c r="P25" s="7" t="s">
        <v>20</v>
      </c>
      <c r="Q25" s="7"/>
      <c r="R25" s="241"/>
      <c r="S25" s="242"/>
      <c r="T25" s="242"/>
      <c r="U25" s="242"/>
      <c r="V25" s="242"/>
      <c r="W25" s="242"/>
      <c r="X25" s="242"/>
      <c r="Y25" s="242"/>
      <c r="Z25" s="242"/>
    </row>
    <row r="26" spans="1:26" ht="19.5" customHeight="1">
      <c r="A26" s="239" t="s">
        <v>37</v>
      </c>
      <c r="B26" s="239"/>
      <c r="C26" s="239"/>
      <c r="D26" s="239"/>
      <c r="E26" s="239"/>
      <c r="F26" s="239"/>
      <c r="G26" s="239"/>
      <c r="H26" s="239"/>
      <c r="I26" s="239"/>
      <c r="J26" s="7" t="s">
        <v>18</v>
      </c>
      <c r="K26" s="7" t="s">
        <v>19</v>
      </c>
      <c r="L26" s="7" t="s">
        <v>20</v>
      </c>
      <c r="M26" s="7"/>
      <c r="N26" s="7" t="s">
        <v>18</v>
      </c>
      <c r="O26" s="7" t="s">
        <v>19</v>
      </c>
      <c r="P26" s="7" t="s">
        <v>20</v>
      </c>
      <c r="Q26" s="7"/>
      <c r="R26" s="1"/>
      <c r="S26" s="1"/>
      <c r="T26" s="1"/>
      <c r="U26" s="1"/>
      <c r="V26" s="1"/>
      <c r="W26" s="1"/>
      <c r="X26" s="1"/>
      <c r="Y26" s="1"/>
      <c r="Z26" s="9"/>
    </row>
    <row r="27" spans="1:26" ht="19.5" customHeight="1">
      <c r="A27" s="243" t="s">
        <v>38</v>
      </c>
      <c r="B27" s="243"/>
      <c r="C27" s="243"/>
      <c r="D27" s="243"/>
      <c r="E27" s="243"/>
      <c r="F27" s="243"/>
      <c r="G27" s="243"/>
      <c r="H27" s="243"/>
      <c r="I27" s="243"/>
      <c r="J27" s="239" t="s">
        <v>8</v>
      </c>
      <c r="K27" s="239"/>
      <c r="L27" s="239"/>
      <c r="M27" s="239"/>
      <c r="N27" s="239" t="s">
        <v>14</v>
      </c>
      <c r="O27" s="239"/>
      <c r="P27" s="239"/>
      <c r="Q27" s="239" t="s">
        <v>25</v>
      </c>
      <c r="R27" s="241" t="s">
        <v>16</v>
      </c>
      <c r="S27" s="242"/>
      <c r="T27" s="242"/>
      <c r="U27" s="242"/>
      <c r="V27" s="242"/>
      <c r="W27" s="242"/>
      <c r="X27" s="242"/>
      <c r="Y27" s="242"/>
      <c r="Z27" s="242"/>
    </row>
    <row r="28" spans="1:26" ht="19.5" customHeight="1">
      <c r="A28" s="239" t="s">
        <v>39</v>
      </c>
      <c r="B28" s="239"/>
      <c r="C28" s="239"/>
      <c r="D28" s="239"/>
      <c r="E28" s="239"/>
      <c r="F28" s="239"/>
      <c r="G28" s="239"/>
      <c r="H28" s="239"/>
      <c r="I28" s="239"/>
      <c r="J28" s="7" t="s">
        <v>18</v>
      </c>
      <c r="K28" s="7" t="s">
        <v>19</v>
      </c>
      <c r="L28" s="7" t="s">
        <v>20</v>
      </c>
      <c r="M28" s="7"/>
      <c r="N28" s="7" t="s">
        <v>18</v>
      </c>
      <c r="O28" s="7" t="s">
        <v>19</v>
      </c>
      <c r="P28" s="7" t="s">
        <v>20</v>
      </c>
      <c r="Q28" s="7"/>
      <c r="R28" s="1"/>
      <c r="S28" s="1"/>
      <c r="T28" s="1"/>
      <c r="U28" s="1"/>
      <c r="V28" s="1"/>
      <c r="W28" s="1"/>
      <c r="X28" s="1"/>
      <c r="Y28" s="1"/>
      <c r="Z28" s="9"/>
    </row>
    <row r="29" spans="1:26" ht="19.5" customHeight="1">
      <c r="A29" s="239" t="s">
        <v>40</v>
      </c>
      <c r="B29" s="239"/>
      <c r="C29" s="239"/>
      <c r="D29" s="239"/>
      <c r="E29" s="239"/>
      <c r="F29" s="239"/>
      <c r="G29" s="239"/>
      <c r="H29" s="239"/>
      <c r="I29" s="239"/>
      <c r="J29" s="7" t="s">
        <v>18</v>
      </c>
      <c r="K29" s="7" t="s">
        <v>19</v>
      </c>
      <c r="L29" s="7" t="s">
        <v>20</v>
      </c>
      <c r="M29" s="7"/>
      <c r="N29" s="7" t="s">
        <v>18</v>
      </c>
      <c r="O29" s="7" t="s">
        <v>19</v>
      </c>
      <c r="P29" s="7" t="s">
        <v>20</v>
      </c>
      <c r="Q29" s="7"/>
      <c r="R29" s="1"/>
      <c r="S29" s="1"/>
      <c r="T29" s="1"/>
      <c r="U29" s="1"/>
      <c r="V29" s="1"/>
      <c r="W29" s="1"/>
      <c r="X29" s="1"/>
      <c r="Y29" s="1"/>
      <c r="Z29" s="9"/>
    </row>
    <row r="30" spans="1:26" ht="19.5" customHeight="1">
      <c r="A30" s="239" t="s">
        <v>41</v>
      </c>
      <c r="B30" s="239"/>
      <c r="C30" s="239"/>
      <c r="D30" s="239"/>
      <c r="E30" s="239"/>
      <c r="F30" s="239"/>
      <c r="G30" s="239"/>
      <c r="H30" s="239"/>
      <c r="I30" s="239"/>
      <c r="J30" s="7" t="s">
        <v>18</v>
      </c>
      <c r="K30" s="7" t="s">
        <v>19</v>
      </c>
      <c r="L30" s="7" t="s">
        <v>20</v>
      </c>
      <c r="M30" s="7"/>
      <c r="N30" s="7" t="s">
        <v>18</v>
      </c>
      <c r="O30" s="7" t="s">
        <v>19</v>
      </c>
      <c r="P30" s="7" t="s">
        <v>20</v>
      </c>
      <c r="Q30" s="7"/>
      <c r="R30" s="1"/>
      <c r="S30" s="1"/>
      <c r="T30" s="1"/>
      <c r="U30" s="1"/>
      <c r="V30" s="1"/>
      <c r="W30" s="1"/>
      <c r="X30" s="1"/>
      <c r="Y30" s="1"/>
      <c r="Z30" s="9"/>
    </row>
    <row r="31" spans="1:26" ht="19.5" customHeight="1">
      <c r="A31" s="243" t="s">
        <v>42</v>
      </c>
      <c r="B31" s="243"/>
      <c r="C31" s="243"/>
      <c r="D31" s="243"/>
      <c r="E31" s="243"/>
      <c r="F31" s="243"/>
      <c r="G31" s="243"/>
      <c r="H31" s="243"/>
      <c r="I31" s="243"/>
      <c r="J31" s="239" t="s">
        <v>8</v>
      </c>
      <c r="K31" s="239"/>
      <c r="L31" s="239"/>
      <c r="M31" s="239"/>
      <c r="N31" s="239" t="s">
        <v>14</v>
      </c>
      <c r="O31" s="239"/>
      <c r="P31" s="239"/>
      <c r="Q31" s="239" t="s">
        <v>25</v>
      </c>
      <c r="R31" s="241" t="s">
        <v>16</v>
      </c>
      <c r="S31" s="242"/>
      <c r="T31" s="242"/>
      <c r="U31" s="242"/>
      <c r="V31" s="242"/>
      <c r="W31" s="242"/>
      <c r="X31" s="242"/>
      <c r="Y31" s="242"/>
      <c r="Z31" s="242"/>
    </row>
    <row r="32" spans="1:26" ht="19.5" customHeight="1">
      <c r="A32" s="239" t="s">
        <v>43</v>
      </c>
      <c r="B32" s="239"/>
      <c r="C32" s="239"/>
      <c r="D32" s="239"/>
      <c r="E32" s="239"/>
      <c r="F32" s="239"/>
      <c r="G32" s="239"/>
      <c r="H32" s="239"/>
      <c r="I32" s="239"/>
      <c r="J32" s="7" t="s">
        <v>18</v>
      </c>
      <c r="K32" s="7" t="s">
        <v>19</v>
      </c>
      <c r="L32" s="7" t="s">
        <v>20</v>
      </c>
      <c r="M32" s="7"/>
      <c r="N32" s="7" t="s">
        <v>18</v>
      </c>
      <c r="O32" s="7" t="s">
        <v>19</v>
      </c>
      <c r="P32" s="7" t="s">
        <v>20</v>
      </c>
      <c r="Q32" s="7"/>
      <c r="R32" s="1"/>
      <c r="S32" s="1"/>
      <c r="T32" s="1"/>
      <c r="U32" s="1"/>
      <c r="V32" s="1"/>
      <c r="W32" s="1"/>
      <c r="X32" s="1"/>
      <c r="Y32" s="1"/>
      <c r="Z32" s="9"/>
    </row>
    <row r="33" spans="1:26" ht="12.75" customHeight="1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"/>
      <c r="R33" s="1"/>
      <c r="S33" s="1"/>
      <c r="T33" s="1"/>
      <c r="U33" s="1"/>
      <c r="V33" s="1"/>
      <c r="W33" s="1"/>
      <c r="X33" s="1"/>
      <c r="Y33" s="1"/>
      <c r="Z33" s="9"/>
    </row>
    <row r="34" spans="1:26" ht="31.5" customHeight="1">
      <c r="A34" s="244" t="s">
        <v>44</v>
      </c>
      <c r="B34" s="244"/>
      <c r="C34" s="244"/>
      <c r="D34" s="244"/>
      <c r="E34" s="244"/>
      <c r="F34" s="244"/>
      <c r="G34" s="244"/>
      <c r="H34" s="244"/>
      <c r="I34" s="245"/>
      <c r="J34" s="43" t="s">
        <v>19</v>
      </c>
      <c r="K34" s="40" t="s">
        <v>45</v>
      </c>
      <c r="L34" s="38"/>
      <c r="M34" s="7" t="s">
        <v>46</v>
      </c>
      <c r="N34" s="38"/>
      <c r="O34" s="7" t="s">
        <v>47</v>
      </c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</row>
    <row r="35" spans="1:26" ht="31.5" customHeight="1">
      <c r="A35" s="245" t="s">
        <v>48</v>
      </c>
      <c r="B35" s="245"/>
      <c r="C35" s="245"/>
      <c r="D35" s="245"/>
      <c r="E35" s="245"/>
      <c r="F35" s="245"/>
      <c r="G35" s="245"/>
      <c r="H35" s="245"/>
      <c r="I35" s="245"/>
      <c r="J35" s="43" t="s">
        <v>19</v>
      </c>
      <c r="K35" s="40" t="s">
        <v>45</v>
      </c>
      <c r="L35" s="38"/>
      <c r="M35" s="7" t="s">
        <v>46</v>
      </c>
      <c r="N35" s="38"/>
      <c r="O35" s="7" t="s">
        <v>47</v>
      </c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</row>
    <row r="36" spans="1:26" ht="31.5" customHeight="1">
      <c r="A36" s="245" t="s">
        <v>49</v>
      </c>
      <c r="B36" s="245"/>
      <c r="C36" s="245"/>
      <c r="D36" s="245"/>
      <c r="E36" s="245"/>
      <c r="F36" s="245"/>
      <c r="G36" s="245"/>
      <c r="H36" s="245"/>
      <c r="I36" s="245"/>
      <c r="J36" s="43" t="s">
        <v>19</v>
      </c>
      <c r="K36" s="40" t="s">
        <v>45</v>
      </c>
      <c r="L36" s="38"/>
      <c r="M36" s="7" t="s">
        <v>46</v>
      </c>
      <c r="N36" s="38"/>
      <c r="O36" s="7" t="s">
        <v>47</v>
      </c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</row>
    <row r="37" spans="1:26" ht="31.5" customHeight="1">
      <c r="A37" s="245" t="s">
        <v>50</v>
      </c>
      <c r="B37" s="245"/>
      <c r="C37" s="245"/>
      <c r="D37" s="245"/>
      <c r="E37" s="245"/>
      <c r="F37" s="245"/>
      <c r="G37" s="245"/>
      <c r="H37" s="245"/>
      <c r="I37" s="245"/>
      <c r="J37" s="43" t="s">
        <v>19</v>
      </c>
      <c r="K37" s="40" t="s">
        <v>45</v>
      </c>
      <c r="L37" s="38"/>
      <c r="M37" s="7" t="s">
        <v>46</v>
      </c>
      <c r="N37" s="38"/>
      <c r="O37" s="7" t="s">
        <v>47</v>
      </c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</row>
    <row r="38" spans="1:26" ht="31.5" customHeight="1">
      <c r="A38" s="245" t="s">
        <v>51</v>
      </c>
      <c r="B38" s="245"/>
      <c r="C38" s="245"/>
      <c r="D38" s="245"/>
      <c r="E38" s="245"/>
      <c r="F38" s="245"/>
      <c r="G38" s="245"/>
      <c r="H38" s="245"/>
      <c r="I38" s="245"/>
      <c r="J38" s="43" t="s">
        <v>19</v>
      </c>
      <c r="K38" s="40" t="s">
        <v>45</v>
      </c>
      <c r="L38" s="38"/>
      <c r="M38" s="7" t="s">
        <v>46</v>
      </c>
      <c r="N38" s="38"/>
      <c r="O38" s="7" t="s">
        <v>47</v>
      </c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</row>
    <row r="39" spans="1:26" ht="31.5" customHeight="1">
      <c r="A39" s="245" t="s">
        <v>52</v>
      </c>
      <c r="B39" s="245"/>
      <c r="C39" s="245"/>
      <c r="D39" s="245"/>
      <c r="E39" s="245"/>
      <c r="F39" s="245"/>
      <c r="G39" s="245"/>
      <c r="H39" s="245"/>
      <c r="I39" s="245"/>
      <c r="J39" s="43" t="s">
        <v>19</v>
      </c>
      <c r="K39" s="40" t="s">
        <v>45</v>
      </c>
      <c r="L39" s="38"/>
      <c r="M39" s="7" t="s">
        <v>46</v>
      </c>
      <c r="N39" s="38"/>
      <c r="O39" s="7" t="s">
        <v>47</v>
      </c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</row>
    <row r="40" spans="1:26" ht="31.5" customHeight="1">
      <c r="A40" s="245" t="s">
        <v>53</v>
      </c>
      <c r="B40" s="245"/>
      <c r="C40" s="245"/>
      <c r="D40" s="245"/>
      <c r="E40" s="245"/>
      <c r="F40" s="245"/>
      <c r="G40" s="245"/>
      <c r="H40" s="245"/>
      <c r="I40" s="12"/>
      <c r="J40" s="43" t="s">
        <v>19</v>
      </c>
      <c r="K40" s="40" t="s">
        <v>45</v>
      </c>
      <c r="L40" s="38"/>
      <c r="M40" s="7" t="s">
        <v>46</v>
      </c>
      <c r="N40" s="38"/>
      <c r="O40" s="7" t="s">
        <v>47</v>
      </c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</row>
    <row r="41" spans="1:26" ht="31.5" customHeight="1">
      <c r="A41" s="245" t="s">
        <v>54</v>
      </c>
      <c r="B41" s="245"/>
      <c r="C41" s="245"/>
      <c r="D41" s="245"/>
      <c r="E41" s="245"/>
      <c r="F41" s="245"/>
      <c r="G41" s="245"/>
      <c r="H41" s="245"/>
      <c r="I41" s="245"/>
      <c r="J41" s="43" t="s">
        <v>19</v>
      </c>
      <c r="K41" s="40" t="s">
        <v>45</v>
      </c>
      <c r="L41" s="38"/>
      <c r="M41" s="7" t="s">
        <v>46</v>
      </c>
      <c r="N41" s="38"/>
      <c r="O41" s="7" t="s">
        <v>47</v>
      </c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</row>
    <row r="42" spans="1:26" ht="31.5" customHeight="1">
      <c r="A42" s="247" t="s">
        <v>55</v>
      </c>
      <c r="B42" s="247"/>
      <c r="C42" s="247"/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247"/>
      <c r="Z42" s="247"/>
    </row>
    <row r="43" spans="1:26" ht="31.5" customHeight="1">
      <c r="A43" s="247" t="s">
        <v>56</v>
      </c>
      <c r="B43" s="247"/>
      <c r="C43" s="247"/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7"/>
      <c r="U43" s="247"/>
      <c r="V43" s="247"/>
      <c r="W43" s="247"/>
      <c r="X43" s="247"/>
      <c r="Y43" s="247"/>
      <c r="Z43" s="247"/>
    </row>
    <row r="44" spans="1:26" ht="31.5" customHeight="1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5"/>
    </row>
    <row r="45" spans="1:26" ht="77.25" customHeight="1">
      <c r="A45" s="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9"/>
    </row>
    <row r="46" spans="1:26" ht="19.5" customHeight="1">
      <c r="A46" s="248" t="s">
        <v>57</v>
      </c>
      <c r="B46" s="248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</row>
    <row r="47" spans="1:26" ht="9.75" customHeight="1">
      <c r="A47" s="248"/>
      <c r="B47" s="248"/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</row>
    <row r="48" spans="1:26" ht="32.25" customHeight="1">
      <c r="A48" s="249" t="s">
        <v>58</v>
      </c>
      <c r="B48" s="249"/>
      <c r="C48" s="250">
        <f>C7</f>
        <v>0</v>
      </c>
      <c r="D48" s="250"/>
      <c r="E48" s="250"/>
      <c r="F48" s="229" t="s">
        <v>59</v>
      </c>
      <c r="G48" s="229"/>
      <c r="H48" s="229"/>
      <c r="I48" s="230" t="s">
        <v>60</v>
      </c>
      <c r="J48" s="231"/>
      <c r="K48" s="231"/>
      <c r="L48" s="231"/>
      <c r="M48" s="231"/>
      <c r="N48" s="231"/>
      <c r="O48" s="232"/>
      <c r="P48" s="229" t="s">
        <v>11</v>
      </c>
      <c r="Q48" s="229"/>
      <c r="R48" s="229"/>
      <c r="S48" s="229"/>
      <c r="T48" s="251">
        <f>L7</f>
        <v>0</v>
      </c>
      <c r="U48" s="251"/>
      <c r="V48" s="229" t="s">
        <v>61</v>
      </c>
      <c r="W48" s="229"/>
      <c r="X48" s="229"/>
      <c r="Y48" s="252">
        <f>P7</f>
        <v>0</v>
      </c>
      <c r="Z48" s="253"/>
    </row>
    <row r="49" spans="1:26" ht="9.75" customHeight="1">
      <c r="A49" s="16"/>
      <c r="B49" s="17"/>
      <c r="C49" s="17"/>
      <c r="D49" s="17"/>
      <c r="E49" s="17"/>
      <c r="F49" s="17"/>
      <c r="G49" s="17"/>
      <c r="H49" s="17"/>
      <c r="I49" s="18"/>
      <c r="J49" s="18"/>
      <c r="K49" s="18"/>
      <c r="L49" s="18"/>
      <c r="M49" s="18"/>
      <c r="N49" s="18"/>
      <c r="O49" s="18"/>
      <c r="P49" s="17"/>
      <c r="Q49" s="17"/>
      <c r="R49" s="17"/>
      <c r="S49" s="17"/>
      <c r="T49" s="18"/>
      <c r="U49" s="18"/>
      <c r="V49" s="18"/>
      <c r="W49" s="18"/>
      <c r="X49" s="18"/>
      <c r="Y49" s="18"/>
      <c r="Z49" s="19"/>
    </row>
    <row r="50" spans="1:26" ht="22.5" customHeight="1">
      <c r="A50" s="254" t="s">
        <v>62</v>
      </c>
      <c r="B50" s="254"/>
      <c r="C50" s="254" t="s">
        <v>63</v>
      </c>
      <c r="D50" s="254"/>
      <c r="E50" s="254"/>
      <c r="F50" s="254"/>
      <c r="G50" s="254"/>
      <c r="H50" s="254"/>
      <c r="I50" s="254" t="s">
        <v>64</v>
      </c>
      <c r="J50" s="254"/>
      <c r="K50" s="254"/>
      <c r="L50" s="254"/>
      <c r="M50" s="254"/>
      <c r="N50" s="254" t="s">
        <v>65</v>
      </c>
      <c r="O50" s="254"/>
      <c r="P50" s="254"/>
      <c r="Q50" s="254"/>
      <c r="R50" s="254"/>
      <c r="S50" s="254"/>
      <c r="T50" s="254"/>
      <c r="U50" s="254"/>
      <c r="V50" s="254" t="s">
        <v>123</v>
      </c>
      <c r="W50" s="254"/>
      <c r="X50" s="258"/>
      <c r="Y50" s="258"/>
      <c r="Z50" s="258"/>
    </row>
    <row r="51" spans="1:26" ht="21" customHeight="1">
      <c r="A51" s="40" t="s">
        <v>19</v>
      </c>
      <c r="B51" s="255" t="s">
        <v>66</v>
      </c>
      <c r="C51" s="255"/>
      <c r="D51" s="256"/>
      <c r="E51" s="256"/>
      <c r="F51" s="255" t="s">
        <v>67</v>
      </c>
      <c r="G51" s="255"/>
      <c r="H51" s="255"/>
      <c r="I51" s="246"/>
      <c r="J51" s="246"/>
      <c r="K51" s="246"/>
      <c r="L51" s="246"/>
      <c r="M51" s="246"/>
      <c r="N51" s="257"/>
      <c r="O51" s="257"/>
      <c r="P51" s="257"/>
      <c r="Q51" s="257"/>
      <c r="R51" s="257"/>
      <c r="S51" s="257"/>
      <c r="T51" s="257"/>
      <c r="U51" s="257"/>
      <c r="V51" s="246"/>
      <c r="W51" s="246"/>
      <c r="X51" s="246"/>
      <c r="Y51" s="246"/>
      <c r="Z51" s="246"/>
    </row>
    <row r="52" spans="1:26" s="23" customFormat="1" ht="9.75" customHeight="1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2"/>
    </row>
    <row r="53" spans="1:26" ht="24" customHeight="1">
      <c r="A53" s="230" t="s">
        <v>68</v>
      </c>
      <c r="B53" s="230"/>
      <c r="C53" s="230"/>
      <c r="D53" s="230"/>
      <c r="E53" s="230"/>
      <c r="F53" s="230"/>
      <c r="G53" s="230"/>
      <c r="H53" s="230"/>
      <c r="I53" s="230"/>
      <c r="J53" s="230" t="s">
        <v>69</v>
      </c>
      <c r="K53" s="230"/>
      <c r="L53" s="230"/>
      <c r="M53" s="230"/>
      <c r="N53" s="230"/>
      <c r="O53" s="230"/>
      <c r="P53" s="239" t="s">
        <v>16</v>
      </c>
      <c r="Q53" s="239"/>
      <c r="R53" s="239"/>
      <c r="S53" s="239"/>
      <c r="T53" s="239"/>
      <c r="U53" s="239"/>
      <c r="V53" s="239"/>
      <c r="W53" s="239"/>
      <c r="X53" s="239"/>
      <c r="Y53" s="239"/>
      <c r="Z53" s="239"/>
    </row>
    <row r="54" spans="1:26" ht="24" customHeight="1">
      <c r="A54" s="245" t="s">
        <v>70</v>
      </c>
      <c r="B54" s="245"/>
      <c r="C54" s="245"/>
      <c r="D54" s="245"/>
      <c r="E54" s="245"/>
      <c r="F54" s="245"/>
      <c r="G54" s="245"/>
      <c r="H54" s="245"/>
      <c r="I54" s="245"/>
      <c r="J54" s="40" t="s">
        <v>19</v>
      </c>
      <c r="K54" s="40" t="s">
        <v>45</v>
      </c>
      <c r="L54" s="7"/>
      <c r="M54" s="7" t="s">
        <v>46</v>
      </c>
      <c r="N54" s="7"/>
      <c r="O54" s="8" t="s">
        <v>47</v>
      </c>
      <c r="P54" s="259" t="s">
        <v>71</v>
      </c>
      <c r="Q54" s="259" t="s">
        <v>72</v>
      </c>
      <c r="R54" s="44"/>
      <c r="S54" s="259" t="s">
        <v>73</v>
      </c>
      <c r="T54" s="259"/>
      <c r="U54" s="44"/>
      <c r="V54" s="45" t="s">
        <v>74</v>
      </c>
      <c r="W54" s="44"/>
      <c r="X54" s="45" t="s">
        <v>75</v>
      </c>
      <c r="Y54" s="44"/>
      <c r="Z54" s="39" t="s">
        <v>76</v>
      </c>
    </row>
    <row r="55" spans="1:26" ht="24" customHeight="1">
      <c r="A55" s="260" t="s">
        <v>77</v>
      </c>
      <c r="B55" s="260"/>
      <c r="C55" s="260"/>
      <c r="D55" s="260"/>
      <c r="E55" s="260"/>
      <c r="F55" s="260"/>
      <c r="G55" s="260"/>
      <c r="H55" s="260"/>
      <c r="I55" s="260"/>
      <c r="J55" s="40" t="s">
        <v>19</v>
      </c>
      <c r="K55" s="40" t="s">
        <v>45</v>
      </c>
      <c r="L55" s="7"/>
      <c r="M55" s="7" t="s">
        <v>46</v>
      </c>
      <c r="N55" s="7"/>
      <c r="O55" s="8" t="s">
        <v>47</v>
      </c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</row>
    <row r="56" spans="1:26" ht="24" customHeight="1">
      <c r="A56" s="245" t="s">
        <v>78</v>
      </c>
      <c r="B56" s="245"/>
      <c r="C56" s="245"/>
      <c r="D56" s="245"/>
      <c r="E56" s="245"/>
      <c r="F56" s="245"/>
      <c r="G56" s="245"/>
      <c r="H56" s="245"/>
      <c r="I56" s="245"/>
      <c r="J56" s="40" t="s">
        <v>19</v>
      </c>
      <c r="K56" s="40" t="s">
        <v>45</v>
      </c>
      <c r="L56" s="7"/>
      <c r="M56" s="7" t="s">
        <v>46</v>
      </c>
      <c r="N56" s="7"/>
      <c r="O56" s="7" t="s">
        <v>47</v>
      </c>
      <c r="P56" s="261" t="s">
        <v>79</v>
      </c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 spans="1:26" ht="24" customHeight="1">
      <c r="A57" s="245" t="s">
        <v>80</v>
      </c>
      <c r="B57" s="245"/>
      <c r="C57" s="245"/>
      <c r="D57" s="245"/>
      <c r="E57" s="245"/>
      <c r="F57" s="245"/>
      <c r="G57" s="245"/>
      <c r="H57" s="245"/>
      <c r="I57" s="245"/>
      <c r="J57" s="40"/>
      <c r="K57" s="40" t="s">
        <v>45</v>
      </c>
      <c r="L57" s="7" t="s">
        <v>19</v>
      </c>
      <c r="M57" s="7" t="s">
        <v>46</v>
      </c>
      <c r="N57" s="7"/>
      <c r="O57" s="7" t="s">
        <v>47</v>
      </c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</row>
    <row r="58" spans="1:26" ht="24" customHeight="1">
      <c r="A58" s="262" t="s">
        <v>81</v>
      </c>
      <c r="B58" s="262"/>
      <c r="C58" s="262"/>
      <c r="D58" s="262"/>
      <c r="E58" s="262"/>
      <c r="F58" s="262"/>
      <c r="G58" s="262"/>
      <c r="H58" s="262"/>
      <c r="I58" s="260"/>
      <c r="J58" s="40" t="s">
        <v>19</v>
      </c>
      <c r="K58" s="40" t="s">
        <v>45</v>
      </c>
      <c r="L58" s="7"/>
      <c r="M58" s="7" t="s">
        <v>46</v>
      </c>
      <c r="N58" s="7"/>
      <c r="O58" s="7" t="s">
        <v>47</v>
      </c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</row>
    <row r="59" spans="1:26" ht="24" customHeight="1">
      <c r="A59" s="245" t="s">
        <v>82</v>
      </c>
      <c r="B59" s="245"/>
      <c r="C59" s="245"/>
      <c r="D59" s="245"/>
      <c r="E59" s="245"/>
      <c r="F59" s="245"/>
      <c r="G59" s="245"/>
      <c r="H59" s="245"/>
      <c r="I59" s="245"/>
      <c r="J59" s="40" t="s">
        <v>19</v>
      </c>
      <c r="K59" s="40" t="s">
        <v>45</v>
      </c>
      <c r="L59" s="7"/>
      <c r="M59" s="7" t="s">
        <v>46</v>
      </c>
      <c r="N59" s="7"/>
      <c r="O59" s="7" t="s">
        <v>47</v>
      </c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</row>
    <row r="60" spans="1:26" ht="35.25" customHeight="1">
      <c r="A60" s="263" t="s">
        <v>83</v>
      </c>
      <c r="B60" s="263"/>
      <c r="C60" s="263"/>
      <c r="D60" s="263"/>
      <c r="E60" s="263"/>
      <c r="F60" s="263"/>
      <c r="G60" s="263"/>
      <c r="H60" s="263"/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3"/>
      <c r="Y60" s="263"/>
      <c r="Z60" s="263"/>
    </row>
    <row r="61" spans="1:26" ht="33" customHeight="1">
      <c r="A61" s="264" t="s">
        <v>56</v>
      </c>
      <c r="B61" s="264"/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</row>
    <row r="62" spans="1:26" ht="7.5" customHeight="1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6"/>
      <c r="M62" s="21"/>
      <c r="N62" s="21"/>
      <c r="O62" s="21"/>
      <c r="P62" s="21"/>
      <c r="Q62" s="27"/>
      <c r="R62" s="27"/>
      <c r="S62" s="27"/>
      <c r="T62" s="27"/>
      <c r="U62" s="27"/>
      <c r="V62" s="27"/>
      <c r="W62" s="27"/>
      <c r="X62" s="27"/>
      <c r="Y62" s="27"/>
      <c r="Z62" s="28"/>
    </row>
    <row r="63" spans="1:26" ht="31.5" customHeight="1">
      <c r="A63" s="254" t="s">
        <v>84</v>
      </c>
      <c r="B63" s="254"/>
      <c r="C63" s="254"/>
      <c r="D63" s="229" t="s">
        <v>85</v>
      </c>
      <c r="E63" s="229"/>
      <c r="F63" s="229"/>
      <c r="G63" s="229"/>
      <c r="H63" s="229"/>
      <c r="I63" s="229"/>
      <c r="J63" s="229"/>
      <c r="K63" s="229"/>
      <c r="L63" s="229"/>
      <c r="M63" s="229"/>
      <c r="N63" s="229" t="s">
        <v>86</v>
      </c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</row>
    <row r="64" spans="1:26" ht="31.5" customHeight="1">
      <c r="A64" s="254"/>
      <c r="B64" s="254"/>
      <c r="C64" s="254"/>
      <c r="D64" s="251">
        <f>T7</f>
        <v>0</v>
      </c>
      <c r="E64" s="251"/>
      <c r="F64" s="251"/>
      <c r="G64" s="251"/>
      <c r="H64" s="251"/>
      <c r="I64" s="251"/>
      <c r="J64" s="251"/>
      <c r="K64" s="251"/>
      <c r="L64" s="251"/>
      <c r="M64" s="251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</row>
    <row r="65" spans="1:26" ht="31.5" customHeight="1">
      <c r="A65" s="254"/>
      <c r="B65" s="254"/>
      <c r="C65" s="254"/>
      <c r="D65" s="251">
        <f>T8</f>
        <v>0</v>
      </c>
      <c r="E65" s="251"/>
      <c r="F65" s="251"/>
      <c r="G65" s="251"/>
      <c r="H65" s="251"/>
      <c r="I65" s="251"/>
      <c r="J65" s="251"/>
      <c r="K65" s="251"/>
      <c r="L65" s="251"/>
      <c r="M65" s="251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spans="1:26" ht="6.75" customHeight="1">
      <c r="A66" s="16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9"/>
    </row>
    <row r="67" spans="1:26" s="23" customFormat="1" ht="31.5" customHeight="1">
      <c r="A67" s="264" t="s">
        <v>87</v>
      </c>
      <c r="B67" s="264"/>
      <c r="C67" s="264"/>
      <c r="D67" s="239" t="str">
        <f>Z7</f>
        <v>JULIANA MONTEIRO</v>
      </c>
      <c r="E67" s="239"/>
      <c r="F67" s="239"/>
      <c r="G67" s="239"/>
      <c r="H67" s="239"/>
      <c r="I67" s="239"/>
      <c r="J67" s="239" t="s">
        <v>88</v>
      </c>
      <c r="K67" s="239"/>
      <c r="L67" s="239"/>
      <c r="M67" s="239" t="s">
        <v>89</v>
      </c>
      <c r="N67" s="239"/>
      <c r="O67" s="239"/>
      <c r="P67" s="239"/>
      <c r="Q67" s="239"/>
      <c r="R67" s="269" t="s">
        <v>90</v>
      </c>
      <c r="S67" s="269"/>
      <c r="T67" s="246" t="s">
        <v>213</v>
      </c>
      <c r="U67" s="246"/>
      <c r="V67" s="246"/>
      <c r="W67" s="246"/>
      <c r="X67" s="246"/>
      <c r="Y67" s="246"/>
      <c r="Z67" s="246"/>
    </row>
    <row r="68" spans="1:26" s="23" customFormat="1" ht="7.5" customHeight="1">
      <c r="A68" s="29"/>
      <c r="B68" s="30"/>
      <c r="C68" s="30"/>
      <c r="D68" s="30"/>
      <c r="E68" s="30"/>
      <c r="F68" s="30"/>
      <c r="G68" s="30"/>
      <c r="H68" s="30"/>
      <c r="I68" s="30"/>
      <c r="J68" s="265"/>
      <c r="K68" s="265"/>
      <c r="L68" s="265"/>
      <c r="M68" s="265"/>
      <c r="N68" s="265"/>
      <c r="O68" s="31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2"/>
    </row>
    <row r="69" spans="1:26" s="23" customFormat="1" ht="22.5" customHeight="1">
      <c r="A69" s="266" t="s">
        <v>125</v>
      </c>
      <c r="B69" s="266"/>
      <c r="C69" s="266"/>
      <c r="D69" s="266"/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6"/>
      <c r="S69" s="266"/>
      <c r="T69" s="266"/>
      <c r="U69" s="266"/>
      <c r="V69" s="266"/>
      <c r="W69" s="266"/>
      <c r="X69" s="266"/>
      <c r="Y69" s="266"/>
      <c r="Z69" s="266"/>
    </row>
    <row r="70" spans="1:26" s="23" customFormat="1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s="23" customFormat="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s="23" customFormat="1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s="23" customFormat="1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s="23" customFormat="1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s="23" customFormat="1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s="23" customFormat="1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s="23" customFormat="1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s="23" customFormat="1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s="23" customFormat="1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s="23" customFormat="1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s="23" customFormat="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s="23" customFormat="1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s="23" customFormat="1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s="23" customFormat="1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s="23" customFormat="1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s="23" customFormat="1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s="23" customFormat="1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s="23" customFormat="1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s="23" customFormat="1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s="23" customFormat="1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s="23" customFormat="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s="23" customFormat="1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s="23" customFormat="1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s="23" customFormat="1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s="23" customFormat="1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s="23" customFormat="1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s="23" customFormat="1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s="23" customFormat="1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s="23" customFormat="1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s="23" customFormat="1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s="23" customFormat="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s="23" customFormat="1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s="23" customFormat="1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s="23" customFormat="1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s="23" customFormat="1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s="23" customFormat="1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s="23" customFormat="1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s="23" customFormat="1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s="23" customFormat="1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s="23" customFormat="1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s="23" customFormat="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s="23" customFormat="1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s="23" customFormat="1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s="23" customFormat="1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s="23" customFormat="1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s="23" customFormat="1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s="23" customFormat="1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s="23" customFormat="1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s="23" customFormat="1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s="23" customFormat="1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s="23" customFormat="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s="23" customFormat="1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s="23" customFormat="1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s="23" customFormat="1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s="23" customFormat="1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s="23" customFormat="1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s="23" customFormat="1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s="23" customFormat="1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s="23" customFormat="1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s="23" customFormat="1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s="23" customFormat="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s="23" customFormat="1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s="23" customFormat="1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s="23" customFormat="1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s="23" customFormat="1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s="23" customFormat="1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s="23" customFormat="1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s="23" customFormat="1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s="23" customFormat="1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s="23" customFormat="1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s="23" customFormat="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s="23" customFormat="1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s="23" customFormat="1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s="23" customFormat="1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s="23" customFormat="1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s="23" customFormat="1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s="23" customFormat="1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s="23" customFormat="1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s="23" customFormat="1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s="23" customFormat="1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s="23" customFormat="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s="23" customFormat="1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s="23" customFormat="1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s="23" customFormat="1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s="23" customFormat="1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s="23" customFormat="1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s="23" customFormat="1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s="23" customFormat="1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s="23" customFormat="1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s="23" customFormat="1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s="23" customFormat="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s="23" customFormat="1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s="23" customFormat="1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s="23" customFormat="1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s="23" customFormat="1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s="23" customFormat="1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s="23" customFormat="1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s="23" customFormat="1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s="23" customFormat="1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s="23" customFormat="1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s="23" customFormat="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s="23" customFormat="1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s="23" customFormat="1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s="23" customFormat="1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s="23" customFormat="1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s="23" customFormat="1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s="23" customFormat="1" ht="17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s="23" customFormat="1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s="23" customFormat="1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s="23" customFormat="1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s="23" customFormat="1" ht="26.25" customHeight="1">
      <c r="A181" s="267"/>
      <c r="B181" s="267"/>
      <c r="C181" s="267"/>
      <c r="D181" s="267"/>
      <c r="E181" s="267"/>
      <c r="F181" s="267"/>
      <c r="G181" s="267"/>
      <c r="H181" s="267"/>
      <c r="I181" s="267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</row>
    <row r="182" spans="1:26">
      <c r="A182" s="267"/>
      <c r="B182" s="267"/>
      <c r="C182" s="267"/>
      <c r="D182" s="267"/>
      <c r="E182" s="267"/>
      <c r="F182" s="267"/>
      <c r="G182" s="267"/>
      <c r="H182" s="267"/>
      <c r="I182" s="267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</row>
    <row r="183" spans="1:26">
      <c r="A183" s="267"/>
      <c r="B183" s="267"/>
      <c r="C183" s="267"/>
      <c r="D183" s="267"/>
      <c r="E183" s="267"/>
      <c r="F183" s="267"/>
      <c r="G183" s="267"/>
      <c r="H183" s="267"/>
      <c r="I183" s="267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</row>
    <row r="184" spans="1:26">
      <c r="A184" s="267"/>
      <c r="B184" s="267"/>
      <c r="C184" s="267"/>
      <c r="D184" s="267"/>
      <c r="E184" s="267"/>
      <c r="F184" s="267"/>
      <c r="G184" s="267"/>
      <c r="H184" s="267"/>
      <c r="I184" s="267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</row>
    <row r="185" spans="1:26">
      <c r="A185" s="267"/>
      <c r="B185" s="267"/>
      <c r="C185" s="267"/>
      <c r="D185" s="267"/>
      <c r="E185" s="267"/>
      <c r="F185" s="267"/>
      <c r="G185" s="267"/>
      <c r="H185" s="267"/>
      <c r="I185" s="267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</row>
    <row r="186" spans="1:26">
      <c r="A186" s="267"/>
      <c r="B186" s="267"/>
      <c r="C186" s="267"/>
      <c r="D186" s="267"/>
      <c r="E186" s="267"/>
      <c r="F186" s="267"/>
      <c r="G186" s="267"/>
      <c r="H186" s="267"/>
      <c r="I186" s="267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</row>
    <row r="187" spans="1:26">
      <c r="A187" s="267"/>
      <c r="B187" s="267"/>
      <c r="C187" s="267"/>
      <c r="D187" s="267"/>
      <c r="E187" s="267"/>
      <c r="F187" s="267"/>
      <c r="G187" s="267"/>
      <c r="H187" s="267"/>
      <c r="I187" s="267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</row>
    <row r="188" spans="1:26">
      <c r="A188" s="267"/>
      <c r="B188" s="267"/>
      <c r="C188" s="267"/>
      <c r="D188" s="267"/>
      <c r="E188" s="267"/>
      <c r="F188" s="267"/>
      <c r="G188" s="267"/>
      <c r="H188" s="267"/>
      <c r="I188" s="267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</row>
    <row r="189" spans="1:26">
      <c r="A189" s="267"/>
      <c r="B189" s="267"/>
      <c r="C189" s="267"/>
      <c r="D189" s="267"/>
      <c r="E189" s="267"/>
      <c r="F189" s="267"/>
      <c r="G189" s="267"/>
      <c r="H189" s="267"/>
      <c r="I189" s="267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</row>
    <row r="190" spans="1:26">
      <c r="A190" s="267"/>
      <c r="B190" s="267"/>
      <c r="C190" s="267"/>
      <c r="D190" s="267"/>
      <c r="E190" s="267"/>
      <c r="F190" s="267"/>
      <c r="G190" s="267"/>
      <c r="H190" s="267"/>
      <c r="I190" s="267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</row>
    <row r="191" spans="1:26">
      <c r="A191" s="267"/>
      <c r="B191" s="267"/>
      <c r="C191" s="267"/>
      <c r="D191" s="267"/>
      <c r="E191" s="267"/>
      <c r="F191" s="267"/>
      <c r="G191" s="267"/>
      <c r="H191" s="267"/>
      <c r="I191" s="267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</row>
    <row r="192" spans="1:26">
      <c r="A192" s="267"/>
      <c r="B192" s="267"/>
      <c r="C192" s="267"/>
      <c r="D192" s="267"/>
      <c r="E192" s="267"/>
      <c r="F192" s="267"/>
      <c r="G192" s="267"/>
      <c r="H192" s="267"/>
      <c r="I192" s="267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</row>
    <row r="193" spans="1:26">
      <c r="A193" s="267"/>
      <c r="B193" s="267"/>
      <c r="C193" s="267"/>
      <c r="D193" s="267"/>
      <c r="E193" s="267"/>
      <c r="F193" s="267"/>
      <c r="G193" s="267"/>
      <c r="H193" s="267"/>
      <c r="I193" s="267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</row>
    <row r="194" spans="1:26">
      <c r="A194" s="267"/>
      <c r="B194" s="267"/>
      <c r="C194" s="267"/>
      <c r="D194" s="267"/>
      <c r="E194" s="267"/>
      <c r="F194" s="267"/>
      <c r="G194" s="267"/>
      <c r="H194" s="267"/>
      <c r="I194" s="267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</row>
    <row r="195" spans="1:26">
      <c r="A195" s="267"/>
      <c r="B195" s="267"/>
      <c r="C195" s="267"/>
      <c r="D195" s="267"/>
      <c r="E195" s="267"/>
      <c r="F195" s="267"/>
      <c r="G195" s="267"/>
      <c r="H195" s="267"/>
      <c r="I195" s="267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</row>
    <row r="196" spans="1:26">
      <c r="A196" s="267"/>
      <c r="B196" s="267"/>
      <c r="C196" s="267"/>
      <c r="D196" s="267"/>
      <c r="E196" s="267"/>
      <c r="F196" s="267"/>
      <c r="G196" s="267"/>
      <c r="H196" s="267"/>
      <c r="I196" s="267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</row>
    <row r="197" spans="1:26">
      <c r="A197" s="267"/>
      <c r="B197" s="267"/>
      <c r="C197" s="267"/>
      <c r="D197" s="267"/>
      <c r="E197" s="267"/>
      <c r="F197" s="267"/>
      <c r="G197" s="267"/>
      <c r="H197" s="267"/>
      <c r="I197" s="267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</row>
    <row r="198" spans="1:26">
      <c r="A198" s="267"/>
      <c r="B198" s="267"/>
      <c r="C198" s="267"/>
      <c r="D198" s="267"/>
      <c r="E198" s="267"/>
      <c r="F198" s="267"/>
      <c r="G198" s="267"/>
      <c r="H198" s="267"/>
      <c r="I198" s="267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</row>
    <row r="199" spans="1:26">
      <c r="A199" s="267"/>
      <c r="B199" s="267"/>
      <c r="C199" s="267"/>
      <c r="D199" s="267"/>
      <c r="E199" s="267"/>
      <c r="F199" s="267"/>
      <c r="G199" s="267"/>
      <c r="H199" s="267"/>
      <c r="I199" s="267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</row>
    <row r="200" spans="1:26">
      <c r="A200" s="267"/>
      <c r="B200" s="267"/>
      <c r="C200" s="267"/>
      <c r="D200" s="267"/>
      <c r="E200" s="267"/>
      <c r="F200" s="267"/>
      <c r="G200" s="267"/>
      <c r="H200" s="267"/>
      <c r="I200" s="267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</row>
    <row r="201" spans="1:26">
      <c r="A201" s="267"/>
      <c r="B201" s="267"/>
      <c r="C201" s="267"/>
      <c r="D201" s="267"/>
      <c r="E201" s="267"/>
      <c r="F201" s="267"/>
      <c r="G201" s="267"/>
      <c r="H201" s="267"/>
      <c r="I201" s="267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</row>
    <row r="202" spans="1:26">
      <c r="A202" s="267"/>
      <c r="B202" s="267"/>
      <c r="C202" s="267"/>
      <c r="D202" s="267"/>
      <c r="E202" s="267"/>
      <c r="F202" s="267"/>
      <c r="G202" s="267"/>
      <c r="H202" s="267"/>
      <c r="I202" s="267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</row>
    <row r="203" spans="1:26">
      <c r="A203" s="267"/>
      <c r="B203" s="267"/>
      <c r="C203" s="267"/>
      <c r="D203" s="267"/>
      <c r="E203" s="267"/>
      <c r="F203" s="267"/>
      <c r="G203" s="267"/>
      <c r="H203" s="267"/>
      <c r="I203" s="267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</row>
    <row r="204" spans="1:26">
      <c r="A204" s="267"/>
      <c r="B204" s="267"/>
      <c r="C204" s="267"/>
      <c r="D204" s="267"/>
      <c r="E204" s="267"/>
      <c r="F204" s="267"/>
      <c r="G204" s="267"/>
      <c r="H204" s="267"/>
      <c r="I204" s="267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</row>
    <row r="205" spans="1:26">
      <c r="A205" s="267"/>
      <c r="B205" s="267"/>
      <c r="C205" s="267"/>
      <c r="D205" s="267"/>
      <c r="E205" s="267"/>
      <c r="F205" s="267"/>
      <c r="G205" s="267"/>
      <c r="H205" s="267"/>
      <c r="I205" s="267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</row>
    <row r="206" spans="1:26">
      <c r="A206" s="267"/>
      <c r="B206" s="267"/>
      <c r="C206" s="267"/>
      <c r="D206" s="267"/>
      <c r="E206" s="267"/>
      <c r="F206" s="267"/>
      <c r="G206" s="267"/>
      <c r="H206" s="267"/>
      <c r="I206" s="267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</row>
    <row r="207" spans="1:26">
      <c r="A207" s="267"/>
      <c r="B207" s="267"/>
      <c r="C207" s="267"/>
      <c r="D207" s="267"/>
      <c r="E207" s="267"/>
      <c r="F207" s="267"/>
      <c r="G207" s="267"/>
      <c r="H207" s="267"/>
      <c r="I207" s="267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</row>
    <row r="208" spans="1:26">
      <c r="A208" s="267"/>
      <c r="B208" s="267"/>
      <c r="C208" s="267"/>
      <c r="D208" s="267"/>
      <c r="E208" s="267"/>
      <c r="F208" s="267"/>
      <c r="G208" s="267"/>
      <c r="H208" s="267"/>
      <c r="I208" s="267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</row>
    <row r="209" spans="1:26">
      <c r="A209" s="267"/>
      <c r="B209" s="267"/>
      <c r="C209" s="267"/>
      <c r="D209" s="267"/>
      <c r="E209" s="267"/>
      <c r="F209" s="267"/>
      <c r="G209" s="267"/>
      <c r="H209" s="267"/>
      <c r="I209" s="267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</row>
    <row r="210" spans="1:26">
      <c r="A210" s="267"/>
      <c r="B210" s="267"/>
      <c r="C210" s="267"/>
      <c r="D210" s="267"/>
      <c r="E210" s="267"/>
      <c r="F210" s="267"/>
      <c r="G210" s="267"/>
      <c r="H210" s="267"/>
      <c r="I210" s="267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</row>
    <row r="211" spans="1:26">
      <c r="A211" s="267"/>
      <c r="B211" s="267"/>
      <c r="C211" s="267"/>
      <c r="D211" s="267"/>
      <c r="E211" s="267"/>
      <c r="F211" s="267"/>
      <c r="G211" s="267"/>
      <c r="H211" s="267"/>
      <c r="I211" s="267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</row>
    <row r="212" spans="1:26">
      <c r="A212" s="267"/>
      <c r="B212" s="267"/>
      <c r="C212" s="267"/>
      <c r="D212" s="267"/>
      <c r="E212" s="267"/>
      <c r="F212" s="267"/>
      <c r="G212" s="267"/>
      <c r="H212" s="267"/>
      <c r="I212" s="267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</row>
    <row r="213" spans="1:26">
      <c r="A213" s="267"/>
      <c r="B213" s="267"/>
      <c r="C213" s="267"/>
      <c r="D213" s="267"/>
      <c r="E213" s="267"/>
      <c r="F213" s="267"/>
      <c r="G213" s="267"/>
      <c r="H213" s="267"/>
      <c r="I213" s="267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</row>
    <row r="214" spans="1:26">
      <c r="A214" s="267"/>
      <c r="B214" s="267"/>
      <c r="C214" s="267"/>
      <c r="D214" s="267"/>
      <c r="E214" s="267"/>
      <c r="F214" s="267"/>
      <c r="G214" s="267"/>
      <c r="H214" s="267"/>
      <c r="I214" s="267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</row>
    <row r="215" spans="1:26">
      <c r="A215" s="267"/>
      <c r="B215" s="267"/>
      <c r="C215" s="267"/>
      <c r="D215" s="267"/>
      <c r="E215" s="267"/>
      <c r="F215" s="267"/>
      <c r="G215" s="267"/>
      <c r="H215" s="267"/>
      <c r="I215" s="267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</row>
    <row r="216" spans="1:26">
      <c r="A216" s="267"/>
      <c r="B216" s="267"/>
      <c r="C216" s="267"/>
      <c r="D216" s="267"/>
      <c r="E216" s="267"/>
      <c r="F216" s="267"/>
      <c r="G216" s="267"/>
      <c r="H216" s="267"/>
      <c r="I216" s="267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</row>
    <row r="217" spans="1:26">
      <c r="A217" s="267"/>
      <c r="B217" s="267"/>
      <c r="C217" s="267"/>
      <c r="D217" s="267"/>
      <c r="E217" s="267"/>
      <c r="F217" s="267"/>
      <c r="G217" s="267"/>
      <c r="H217" s="267"/>
      <c r="I217" s="267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</row>
    <row r="218" spans="1:26">
      <c r="A218" s="267"/>
      <c r="B218" s="267"/>
      <c r="C218" s="267"/>
      <c r="D218" s="267"/>
      <c r="E218" s="267"/>
      <c r="F218" s="267"/>
      <c r="G218" s="267"/>
      <c r="H218" s="267"/>
      <c r="I218" s="267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</row>
    <row r="219" spans="1:26">
      <c r="A219" s="267"/>
      <c r="B219" s="267"/>
      <c r="C219" s="267"/>
      <c r="D219" s="267"/>
      <c r="E219" s="267"/>
      <c r="F219" s="267"/>
      <c r="G219" s="267"/>
      <c r="H219" s="267"/>
      <c r="I219" s="267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</row>
    <row r="220" spans="1:26">
      <c r="A220" s="267"/>
      <c r="B220" s="267"/>
      <c r="C220" s="267"/>
      <c r="D220" s="267"/>
      <c r="E220" s="267"/>
      <c r="F220" s="267"/>
      <c r="G220" s="267"/>
      <c r="H220" s="267"/>
      <c r="I220" s="267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</row>
    <row r="221" spans="1:26">
      <c r="A221" s="267"/>
      <c r="B221" s="267"/>
      <c r="C221" s="267"/>
      <c r="D221" s="267"/>
      <c r="E221" s="267"/>
      <c r="F221" s="267"/>
      <c r="G221" s="267"/>
      <c r="H221" s="267"/>
      <c r="I221" s="267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</row>
    <row r="222" spans="1:26">
      <c r="A222" s="267"/>
      <c r="B222" s="267"/>
      <c r="C222" s="267"/>
      <c r="D222" s="267"/>
      <c r="E222" s="267"/>
      <c r="F222" s="267"/>
      <c r="G222" s="267"/>
      <c r="H222" s="267"/>
      <c r="I222" s="267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</row>
    <row r="223" spans="1:26">
      <c r="A223" s="267"/>
      <c r="B223" s="267"/>
      <c r="C223" s="267"/>
      <c r="D223" s="267"/>
      <c r="E223" s="267"/>
      <c r="F223" s="267"/>
      <c r="G223" s="267"/>
      <c r="H223" s="267"/>
      <c r="I223" s="267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</row>
    <row r="224" spans="1:26">
      <c r="A224" s="267"/>
      <c r="B224" s="267"/>
      <c r="C224" s="267"/>
      <c r="D224" s="267"/>
      <c r="E224" s="267"/>
      <c r="F224" s="267"/>
      <c r="G224" s="267"/>
      <c r="H224" s="267"/>
      <c r="I224" s="267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</row>
    <row r="225" spans="1:26">
      <c r="A225" s="267"/>
      <c r="B225" s="267"/>
      <c r="C225" s="267"/>
      <c r="D225" s="267"/>
      <c r="E225" s="267"/>
      <c r="F225" s="267"/>
      <c r="G225" s="267"/>
      <c r="H225" s="267"/>
      <c r="I225" s="267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</row>
    <row r="226" spans="1:26">
      <c r="A226" s="267"/>
      <c r="B226" s="267"/>
      <c r="C226" s="267"/>
      <c r="D226" s="267"/>
      <c r="E226" s="267"/>
      <c r="F226" s="267"/>
      <c r="G226" s="267"/>
      <c r="H226" s="267"/>
      <c r="I226" s="267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</row>
    <row r="227" spans="1:26">
      <c r="A227" s="267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</row>
    <row r="228" spans="1:26">
      <c r="A228" s="267"/>
      <c r="B228" s="267"/>
      <c r="C228" s="267"/>
      <c r="D228" s="267"/>
      <c r="E228" s="267"/>
      <c r="F228" s="267"/>
      <c r="G228" s="267"/>
      <c r="H228" s="267"/>
      <c r="I228" s="267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</row>
    <row r="229" spans="1:26">
      <c r="A229" s="267"/>
      <c r="B229" s="267"/>
      <c r="C229" s="267"/>
      <c r="D229" s="267"/>
      <c r="E229" s="267"/>
      <c r="F229" s="267"/>
      <c r="G229" s="267"/>
      <c r="H229" s="267"/>
      <c r="I229" s="267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</row>
    <row r="230" spans="1:26">
      <c r="A230" s="267"/>
      <c r="B230" s="267"/>
      <c r="C230" s="267"/>
      <c r="D230" s="267"/>
      <c r="E230" s="267"/>
      <c r="F230" s="267"/>
      <c r="G230" s="267"/>
      <c r="H230" s="267"/>
      <c r="I230" s="267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</row>
    <row r="231" spans="1:26">
      <c r="A231" s="267"/>
      <c r="B231" s="267"/>
      <c r="C231" s="267"/>
      <c r="D231" s="267"/>
      <c r="E231" s="267"/>
      <c r="F231" s="267"/>
      <c r="G231" s="267"/>
      <c r="H231" s="267"/>
      <c r="I231" s="267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</row>
    <row r="232" spans="1:26">
      <c r="A232" s="267"/>
      <c r="B232" s="267"/>
      <c r="C232" s="267"/>
      <c r="D232" s="267"/>
      <c r="E232" s="267"/>
      <c r="F232" s="267"/>
      <c r="G232" s="267"/>
      <c r="H232" s="267"/>
      <c r="I232" s="267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</row>
    <row r="233" spans="1:26">
      <c r="A233" s="267"/>
      <c r="B233" s="267"/>
      <c r="C233" s="267"/>
      <c r="D233" s="267"/>
      <c r="E233" s="267"/>
      <c r="F233" s="267"/>
      <c r="G233" s="267"/>
      <c r="H233" s="267"/>
      <c r="I233" s="267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</row>
    <row r="234" spans="1:26">
      <c r="A234" s="267"/>
      <c r="B234" s="267"/>
      <c r="C234" s="267"/>
      <c r="D234" s="267"/>
      <c r="E234" s="267"/>
      <c r="F234" s="267"/>
      <c r="G234" s="267"/>
      <c r="H234" s="267"/>
      <c r="I234" s="267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</row>
    <row r="235" spans="1:26">
      <c r="A235" s="267"/>
      <c r="B235" s="267"/>
      <c r="C235" s="267"/>
      <c r="D235" s="267"/>
      <c r="E235" s="267"/>
      <c r="F235" s="267"/>
      <c r="G235" s="267"/>
      <c r="H235" s="267"/>
      <c r="I235" s="267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</row>
    <row r="236" spans="1:26">
      <c r="A236" s="267"/>
      <c r="B236" s="267"/>
      <c r="C236" s="267"/>
      <c r="D236" s="267"/>
      <c r="E236" s="267"/>
      <c r="F236" s="267"/>
      <c r="G236" s="267"/>
      <c r="H236" s="267"/>
      <c r="I236" s="267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</row>
    <row r="237" spans="1:26">
      <c r="A237" s="267"/>
      <c r="B237" s="267"/>
      <c r="C237" s="267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</row>
    <row r="238" spans="1:26">
      <c r="A238" s="267"/>
      <c r="B238" s="267"/>
      <c r="C238" s="267"/>
      <c r="D238" s="267"/>
      <c r="E238" s="267"/>
      <c r="F238" s="267"/>
      <c r="G238" s="267"/>
      <c r="H238" s="267"/>
      <c r="I238" s="267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</row>
    <row r="239" spans="1:26">
      <c r="A239" s="267"/>
      <c r="B239" s="267"/>
      <c r="C239" s="267"/>
      <c r="D239" s="267"/>
      <c r="E239" s="267"/>
      <c r="F239" s="267"/>
      <c r="G239" s="267"/>
      <c r="H239" s="267"/>
      <c r="I239" s="267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</row>
    <row r="240" spans="1:26">
      <c r="A240" s="267"/>
      <c r="B240" s="267"/>
      <c r="C240" s="267"/>
      <c r="D240" s="267"/>
      <c r="E240" s="267"/>
      <c r="F240" s="267"/>
      <c r="G240" s="267"/>
      <c r="H240" s="267"/>
      <c r="I240" s="267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</row>
    <row r="241" spans="1:26">
      <c r="A241" s="267"/>
      <c r="B241" s="267"/>
      <c r="C241" s="267"/>
      <c r="D241" s="267"/>
      <c r="E241" s="267"/>
      <c r="F241" s="267"/>
      <c r="G241" s="267"/>
      <c r="H241" s="267"/>
      <c r="I241" s="267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</row>
    <row r="242" spans="1:26">
      <c r="A242" s="267"/>
      <c r="B242" s="267"/>
      <c r="C242" s="267"/>
      <c r="D242" s="267"/>
      <c r="E242" s="267"/>
      <c r="F242" s="267"/>
      <c r="G242" s="267"/>
      <c r="H242" s="267"/>
      <c r="I242" s="267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</row>
    <row r="243" spans="1:26">
      <c r="A243" s="267"/>
      <c r="B243" s="267"/>
      <c r="C243" s="267"/>
      <c r="D243" s="267"/>
      <c r="E243" s="267"/>
      <c r="F243" s="267"/>
      <c r="G243" s="267"/>
      <c r="H243" s="267"/>
      <c r="I243" s="267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</row>
    <row r="244" spans="1:26">
      <c r="A244" s="267"/>
      <c r="B244" s="267"/>
      <c r="C244" s="267"/>
      <c r="D244" s="267"/>
      <c r="E244" s="267"/>
      <c r="F244" s="267"/>
      <c r="G244" s="267"/>
      <c r="H244" s="267"/>
      <c r="I244" s="267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</row>
    <row r="245" spans="1:26">
      <c r="A245" s="267"/>
      <c r="B245" s="267"/>
      <c r="C245" s="267"/>
      <c r="D245" s="267"/>
      <c r="E245" s="267"/>
      <c r="F245" s="267"/>
      <c r="G245" s="267"/>
      <c r="H245" s="267"/>
      <c r="I245" s="267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</row>
    <row r="246" spans="1:26">
      <c r="A246" s="267"/>
      <c r="B246" s="267"/>
      <c r="C246" s="267"/>
      <c r="D246" s="267"/>
      <c r="E246" s="267"/>
      <c r="F246" s="267"/>
      <c r="G246" s="267"/>
      <c r="H246" s="267"/>
      <c r="I246" s="267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</row>
    <row r="247" spans="1:26">
      <c r="A247" s="267"/>
      <c r="B247" s="267"/>
      <c r="C247" s="267"/>
      <c r="D247" s="267"/>
      <c r="E247" s="267"/>
      <c r="F247" s="267"/>
      <c r="G247" s="267"/>
      <c r="H247" s="267"/>
      <c r="I247" s="267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</row>
    <row r="248" spans="1:26">
      <c r="A248" s="267"/>
      <c r="B248" s="267"/>
      <c r="C248" s="267"/>
      <c r="D248" s="267"/>
      <c r="E248" s="267"/>
      <c r="F248" s="267"/>
      <c r="G248" s="267"/>
      <c r="H248" s="267"/>
      <c r="I248" s="267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</row>
    <row r="249" spans="1:26">
      <c r="A249" s="267"/>
      <c r="B249" s="267"/>
      <c r="C249" s="267"/>
      <c r="D249" s="267"/>
      <c r="E249" s="267"/>
      <c r="F249" s="267"/>
      <c r="G249" s="267"/>
      <c r="H249" s="267"/>
      <c r="I249" s="267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</row>
    <row r="250" spans="1:26">
      <c r="A250" s="267"/>
      <c r="B250" s="267"/>
      <c r="C250" s="267"/>
      <c r="D250" s="267"/>
      <c r="E250" s="267"/>
      <c r="F250" s="267"/>
      <c r="G250" s="267"/>
      <c r="H250" s="267"/>
      <c r="I250" s="267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</row>
    <row r="251" spans="1:26">
      <c r="A251" s="267"/>
      <c r="B251" s="267"/>
      <c r="C251" s="267"/>
      <c r="D251" s="267"/>
      <c r="E251" s="267"/>
      <c r="F251" s="267"/>
      <c r="G251" s="267"/>
      <c r="H251" s="267"/>
      <c r="I251" s="267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</row>
    <row r="252" spans="1:26">
      <c r="A252" s="267"/>
      <c r="B252" s="267"/>
      <c r="C252" s="267"/>
      <c r="D252" s="267"/>
      <c r="E252" s="267"/>
      <c r="F252" s="267"/>
      <c r="G252" s="267"/>
      <c r="H252" s="267"/>
      <c r="I252" s="267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</row>
    <row r="253" spans="1:26">
      <c r="A253" s="267"/>
      <c r="B253" s="267"/>
      <c r="C253" s="267"/>
      <c r="D253" s="267"/>
      <c r="E253" s="267"/>
      <c r="F253" s="267"/>
      <c r="G253" s="267"/>
      <c r="H253" s="267"/>
      <c r="I253" s="267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</row>
    <row r="254" spans="1:26">
      <c r="A254" s="267"/>
      <c r="B254" s="267"/>
      <c r="C254" s="267"/>
      <c r="D254" s="267"/>
      <c r="E254" s="267"/>
      <c r="F254" s="267"/>
      <c r="G254" s="267"/>
      <c r="H254" s="267"/>
      <c r="I254" s="267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</row>
    <row r="255" spans="1:26">
      <c r="A255" s="267"/>
      <c r="B255" s="267"/>
      <c r="C255" s="267"/>
      <c r="D255" s="267"/>
      <c r="E255" s="267"/>
      <c r="F255" s="267"/>
      <c r="G255" s="267"/>
      <c r="H255" s="267"/>
      <c r="I255" s="267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</row>
    <row r="256" spans="1:26">
      <c r="A256" s="267"/>
      <c r="B256" s="267"/>
      <c r="C256" s="267"/>
      <c r="D256" s="267"/>
      <c r="E256" s="267"/>
      <c r="F256" s="267"/>
      <c r="G256" s="267"/>
      <c r="H256" s="267"/>
      <c r="I256" s="267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</row>
    <row r="257" spans="1:26">
      <c r="A257" s="267"/>
      <c r="B257" s="267"/>
      <c r="C257" s="267"/>
      <c r="D257" s="267"/>
      <c r="E257" s="267"/>
      <c r="F257" s="267"/>
      <c r="G257" s="267"/>
      <c r="H257" s="267"/>
      <c r="I257" s="267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</row>
    <row r="258" spans="1:26">
      <c r="A258" s="267"/>
      <c r="B258" s="267"/>
      <c r="C258" s="267"/>
      <c r="D258" s="267"/>
      <c r="E258" s="267"/>
      <c r="F258" s="267"/>
      <c r="G258" s="267"/>
      <c r="H258" s="267"/>
      <c r="I258" s="267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</row>
    <row r="259" spans="1:26">
      <c r="A259" s="267"/>
      <c r="B259" s="267"/>
      <c r="C259" s="267"/>
      <c r="D259" s="267"/>
      <c r="E259" s="267"/>
      <c r="F259" s="267"/>
      <c r="G259" s="267"/>
      <c r="H259" s="267"/>
      <c r="I259" s="267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</row>
    <row r="260" spans="1:26">
      <c r="A260" s="267"/>
      <c r="B260" s="267"/>
      <c r="C260" s="267"/>
      <c r="D260" s="267"/>
      <c r="E260" s="267"/>
      <c r="F260" s="267"/>
      <c r="G260" s="267"/>
      <c r="H260" s="267"/>
      <c r="I260" s="267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</row>
    <row r="261" spans="1:26">
      <c r="A261" s="267"/>
      <c r="B261" s="267"/>
      <c r="C261" s="267"/>
      <c r="D261" s="267"/>
      <c r="E261" s="267"/>
      <c r="F261" s="267"/>
      <c r="G261" s="267"/>
      <c r="H261" s="267"/>
      <c r="I261" s="267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</row>
    <row r="262" spans="1:26">
      <c r="A262" s="267"/>
      <c r="B262" s="267"/>
      <c r="C262" s="267"/>
      <c r="D262" s="267"/>
      <c r="E262" s="267"/>
      <c r="F262" s="267"/>
      <c r="G262" s="267"/>
      <c r="H262" s="267"/>
      <c r="I262" s="267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</row>
    <row r="263" spans="1:26">
      <c r="A263" s="267"/>
      <c r="B263" s="267"/>
      <c r="C263" s="267"/>
      <c r="D263" s="267"/>
      <c r="E263" s="267"/>
      <c r="F263" s="267"/>
      <c r="G263" s="267"/>
      <c r="H263" s="267"/>
      <c r="I263" s="267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</row>
    <row r="264" spans="1:26">
      <c r="A264" s="267"/>
      <c r="B264" s="267"/>
      <c r="C264" s="267"/>
      <c r="D264" s="267"/>
      <c r="E264" s="267"/>
      <c r="F264" s="267"/>
      <c r="G264" s="267"/>
      <c r="H264" s="267"/>
      <c r="I264" s="267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</row>
    <row r="265" spans="1:26">
      <c r="A265" s="267"/>
      <c r="B265" s="267"/>
      <c r="C265" s="267"/>
      <c r="D265" s="267"/>
      <c r="E265" s="267"/>
      <c r="F265" s="267"/>
      <c r="G265" s="267"/>
      <c r="H265" s="267"/>
      <c r="I265" s="267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</row>
    <row r="266" spans="1:26">
      <c r="A266" s="267"/>
      <c r="B266" s="267"/>
      <c r="C266" s="267"/>
      <c r="D266" s="267"/>
      <c r="E266" s="267"/>
      <c r="F266" s="267"/>
      <c r="G266" s="267"/>
      <c r="H266" s="267"/>
      <c r="I266" s="267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</row>
    <row r="267" spans="1:26">
      <c r="A267" s="267"/>
      <c r="B267" s="267"/>
      <c r="C267" s="267"/>
      <c r="D267" s="267"/>
      <c r="E267" s="267"/>
      <c r="F267" s="267"/>
      <c r="G267" s="267"/>
      <c r="H267" s="267"/>
      <c r="I267" s="267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</row>
    <row r="268" spans="1:26">
      <c r="A268" s="267"/>
      <c r="B268" s="267"/>
      <c r="C268" s="267"/>
      <c r="D268" s="267"/>
      <c r="E268" s="267"/>
      <c r="F268" s="267"/>
      <c r="G268" s="267"/>
      <c r="H268" s="267"/>
      <c r="I268" s="267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</row>
    <row r="269" spans="1:26">
      <c r="A269" s="267"/>
      <c r="B269" s="267"/>
      <c r="C269" s="267"/>
      <c r="D269" s="267"/>
      <c r="E269" s="267"/>
      <c r="F269" s="267"/>
      <c r="G269" s="267"/>
      <c r="H269" s="267"/>
      <c r="I269" s="267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</row>
    <row r="270" spans="1:26">
      <c r="A270" s="267"/>
      <c r="B270" s="267"/>
      <c r="C270" s="267"/>
      <c r="D270" s="267"/>
      <c r="E270" s="267"/>
      <c r="F270" s="267"/>
      <c r="G270" s="267"/>
      <c r="H270" s="267"/>
      <c r="I270" s="267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</row>
    <row r="271" spans="1:26">
      <c r="A271" s="267"/>
      <c r="B271" s="267"/>
      <c r="C271" s="267"/>
      <c r="D271" s="267"/>
      <c r="E271" s="267"/>
      <c r="F271" s="267"/>
      <c r="G271" s="267"/>
      <c r="H271" s="267"/>
      <c r="I271" s="267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</row>
  </sheetData>
  <mergeCells count="139">
    <mergeCell ref="J68:N68"/>
    <mergeCell ref="A69:Z69"/>
    <mergeCell ref="A181:Z271"/>
    <mergeCell ref="A63:C65"/>
    <mergeCell ref="D63:M63"/>
    <mergeCell ref="N63:Z63"/>
    <mergeCell ref="D64:M64"/>
    <mergeCell ref="N64:Z64"/>
    <mergeCell ref="D65:M65"/>
    <mergeCell ref="N65:Z65"/>
    <mergeCell ref="A67:C67"/>
    <mergeCell ref="D67:I67"/>
    <mergeCell ref="J67:L67"/>
    <mergeCell ref="M67:Q67"/>
    <mergeCell ref="R67:S67"/>
    <mergeCell ref="T67:Z67"/>
    <mergeCell ref="A57:I57"/>
    <mergeCell ref="P57:Z57"/>
    <mergeCell ref="A58:I58"/>
    <mergeCell ref="P58:Z58"/>
    <mergeCell ref="A59:I59"/>
    <mergeCell ref="P59:Z59"/>
    <mergeCell ref="A60:Z60"/>
    <mergeCell ref="A61:B61"/>
    <mergeCell ref="C61:Z61"/>
    <mergeCell ref="A53:I53"/>
    <mergeCell ref="J53:O53"/>
    <mergeCell ref="P53:Z53"/>
    <mergeCell ref="A54:I54"/>
    <mergeCell ref="P54:Q54"/>
    <mergeCell ref="S54:T54"/>
    <mergeCell ref="A55:I55"/>
    <mergeCell ref="P55:Z55"/>
    <mergeCell ref="A56:I56"/>
    <mergeCell ref="P56:Z56"/>
    <mergeCell ref="A50:H50"/>
    <mergeCell ref="I50:M50"/>
    <mergeCell ref="N50:U50"/>
    <mergeCell ref="B51:C51"/>
    <mergeCell ref="D51:E51"/>
    <mergeCell ref="F51:H51"/>
    <mergeCell ref="I51:M51"/>
    <mergeCell ref="N51:U51"/>
    <mergeCell ref="V51:Z51"/>
    <mergeCell ref="V50:W50"/>
    <mergeCell ref="X50:Z50"/>
    <mergeCell ref="A40:H40"/>
    <mergeCell ref="P40:Z40"/>
    <mergeCell ref="A41:I41"/>
    <mergeCell ref="P41:Z41"/>
    <mergeCell ref="A42:Z42"/>
    <mergeCell ref="A43:Z43"/>
    <mergeCell ref="A46:Z47"/>
    <mergeCell ref="A48:B48"/>
    <mergeCell ref="C48:E48"/>
    <mergeCell ref="F48:H48"/>
    <mergeCell ref="T48:U48"/>
    <mergeCell ref="I48:O48"/>
    <mergeCell ref="P48:S48"/>
    <mergeCell ref="V48:X48"/>
    <mergeCell ref="Y48:Z48"/>
    <mergeCell ref="A35:I35"/>
    <mergeCell ref="P35:Z35"/>
    <mergeCell ref="A36:I36"/>
    <mergeCell ref="P36:Z36"/>
    <mergeCell ref="A37:I37"/>
    <mergeCell ref="P37:Z37"/>
    <mergeCell ref="A38:I38"/>
    <mergeCell ref="P38:Z38"/>
    <mergeCell ref="A39:I39"/>
    <mergeCell ref="P39:Z39"/>
    <mergeCell ref="A28:I28"/>
    <mergeCell ref="A29:I29"/>
    <mergeCell ref="A30:I30"/>
    <mergeCell ref="A31:I31"/>
    <mergeCell ref="J31:M31"/>
    <mergeCell ref="N31:Q31"/>
    <mergeCell ref="R31:Z31"/>
    <mergeCell ref="A32:I32"/>
    <mergeCell ref="A34:I34"/>
    <mergeCell ref="P34:Z34"/>
    <mergeCell ref="A22:I22"/>
    <mergeCell ref="A23:I23"/>
    <mergeCell ref="A24:I24"/>
    <mergeCell ref="R24:Z24"/>
    <mergeCell ref="A25:I25"/>
    <mergeCell ref="R25:Z25"/>
    <mergeCell ref="A26:I26"/>
    <mergeCell ref="A27:I27"/>
    <mergeCell ref="J27:M27"/>
    <mergeCell ref="N27:Q27"/>
    <mergeCell ref="R27:Z27"/>
    <mergeCell ref="A16:I16"/>
    <mergeCell ref="A17:I17"/>
    <mergeCell ref="A18:I18"/>
    <mergeCell ref="A19:I19"/>
    <mergeCell ref="A20:I20"/>
    <mergeCell ref="J20:M20"/>
    <mergeCell ref="N20:Q20"/>
    <mergeCell ref="R20:Z20"/>
    <mergeCell ref="A21:I21"/>
    <mergeCell ref="A10:I10"/>
    <mergeCell ref="A11:I11"/>
    <mergeCell ref="A12:I12"/>
    <mergeCell ref="A13:I13"/>
    <mergeCell ref="A14:I14"/>
    <mergeCell ref="J14:M14"/>
    <mergeCell ref="N14:Q14"/>
    <mergeCell ref="R14:Z14"/>
    <mergeCell ref="A15:I15"/>
    <mergeCell ref="C8:E8"/>
    <mergeCell ref="G8:H8"/>
    <mergeCell ref="P8:Q8"/>
    <mergeCell ref="X8:Y8"/>
    <mergeCell ref="A9:I9"/>
    <mergeCell ref="J9:M9"/>
    <mergeCell ref="N9:Q9"/>
    <mergeCell ref="R9:Z9"/>
    <mergeCell ref="I8:K8"/>
    <mergeCell ref="L8:M8"/>
    <mergeCell ref="N8:O8"/>
    <mergeCell ref="R8:S8"/>
    <mergeCell ref="T8:W8"/>
    <mergeCell ref="A1:B3"/>
    <mergeCell ref="C1:V1"/>
    <mergeCell ref="C2:V2"/>
    <mergeCell ref="C3:V3"/>
    <mergeCell ref="W3:Z3"/>
    <mergeCell ref="A4:Z4"/>
    <mergeCell ref="A5:Z6"/>
    <mergeCell ref="C7:E7"/>
    <mergeCell ref="G7:H7"/>
    <mergeCell ref="P7:Q7"/>
    <mergeCell ref="X7:Y7"/>
    <mergeCell ref="I7:K7"/>
    <mergeCell ref="L7:M7"/>
    <mergeCell ref="N7:O7"/>
    <mergeCell ref="R7:S7"/>
    <mergeCell ref="T7:W7"/>
  </mergeCells>
  <printOptions horizontalCentered="1" verticalCentered="1"/>
  <pageMargins left="0.15763888888888899" right="0.15763888888888899" top="0.196527777777778" bottom="0.196527777777778" header="0.511811023622047" footer="0.511811023622047"/>
  <pageSetup paperSize="9" scale="54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6"/>
  <sheetViews>
    <sheetView zoomScale="75" zoomScaleNormal="75" workbookViewId="0">
      <selection activeCell="Y13" sqref="Y13:Z14"/>
    </sheetView>
  </sheetViews>
  <sheetFormatPr defaultColWidth="15.140625" defaultRowHeight="12.75"/>
  <cols>
    <col min="1" max="1" width="16.140625" style="36" customWidth="1"/>
    <col min="2" max="3" width="15.140625" style="36"/>
    <col min="4" max="4" width="5.85546875" style="36" customWidth="1"/>
    <col min="5" max="5" width="6.28515625" style="36" customWidth="1"/>
    <col min="6" max="7" width="6.7109375" style="36" customWidth="1"/>
    <col min="8" max="9" width="5.5703125" style="36" customWidth="1"/>
    <col min="10" max="10" width="4.7109375" style="36" customWidth="1"/>
    <col min="11" max="11" width="5.7109375" style="36" customWidth="1"/>
    <col min="12" max="15" width="9.85546875" style="36" customWidth="1"/>
    <col min="16" max="17" width="12.5703125" style="36" customWidth="1"/>
    <col min="18" max="18" width="7.85546875" style="36" customWidth="1"/>
    <col min="19" max="21" width="6.85546875" style="36" customWidth="1"/>
    <col min="22" max="23" width="4.28515625" style="36" customWidth="1"/>
    <col min="24" max="24" width="4.85546875" style="36" customWidth="1"/>
    <col min="25" max="25" width="8.140625" style="36" customWidth="1"/>
    <col min="26" max="26" width="7.7109375" style="36" customWidth="1"/>
    <col min="27" max="27" width="6" style="36" customWidth="1"/>
    <col min="28" max="28" width="11.140625" style="36" customWidth="1"/>
    <col min="29" max="29" width="16.85546875" style="36" customWidth="1"/>
    <col min="30" max="16384" width="15.140625" style="36"/>
  </cols>
  <sheetData>
    <row r="1" spans="1:30" s="49" customFormat="1" ht="13.5" customHeight="1">
      <c r="A1" s="130"/>
      <c r="B1" s="130"/>
      <c r="C1" s="148" t="s">
        <v>176</v>
      </c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50"/>
      <c r="AB1" s="46" t="s">
        <v>91</v>
      </c>
      <c r="AC1" s="47"/>
      <c r="AD1" s="48"/>
    </row>
    <row r="2" spans="1:30" s="49" customFormat="1" ht="13.5" customHeight="1">
      <c r="A2" s="130"/>
      <c r="B2" s="130"/>
      <c r="C2" s="151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3"/>
      <c r="AB2" s="46" t="s">
        <v>3</v>
      </c>
      <c r="AC2" s="47"/>
      <c r="AD2" s="48"/>
    </row>
    <row r="3" spans="1:30" s="49" customFormat="1" ht="18.75" customHeight="1">
      <c r="A3" s="130"/>
      <c r="B3" s="130"/>
      <c r="C3" s="131" t="s">
        <v>177</v>
      </c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50" t="s">
        <v>92</v>
      </c>
      <c r="AC3" s="51"/>
      <c r="AD3" s="48"/>
    </row>
    <row r="4" spans="1:30" s="52" customFormat="1" ht="13.5" customHeight="1">
      <c r="A4" s="132" t="s">
        <v>93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 t="s">
        <v>178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1:30" ht="8.25" hidden="1" customHeight="1">
      <c r="A5" s="53"/>
      <c r="AC5" s="54"/>
    </row>
    <row r="6" spans="1:30" ht="27.75" customHeight="1">
      <c r="A6" s="133" t="s">
        <v>58</v>
      </c>
      <c r="B6" s="133"/>
      <c r="C6" s="134">
        <f>'Check List'!C48</f>
        <v>0</v>
      </c>
      <c r="D6" s="134"/>
      <c r="E6" s="134"/>
      <c r="F6" s="135" t="s">
        <v>59</v>
      </c>
      <c r="G6" s="136"/>
      <c r="H6" s="136"/>
      <c r="I6" s="137"/>
      <c r="J6" s="138" t="str">
        <f>'Check List'!I48</f>
        <v>CIALNE</v>
      </c>
      <c r="K6" s="139"/>
      <c r="L6" s="139"/>
      <c r="M6" s="139"/>
      <c r="N6" s="139"/>
      <c r="O6" s="139"/>
      <c r="P6" s="140"/>
      <c r="Q6" s="141" t="s">
        <v>11</v>
      </c>
      <c r="R6" s="142"/>
      <c r="S6" s="143"/>
      <c r="T6" s="144">
        <f>'Check List'!L7</f>
        <v>0</v>
      </c>
      <c r="U6" s="145"/>
      <c r="V6" s="145"/>
      <c r="W6" s="146" t="s">
        <v>61</v>
      </c>
      <c r="X6" s="146"/>
      <c r="Y6" s="146"/>
      <c r="Z6" s="146"/>
      <c r="AA6" s="145">
        <f>'Check List'!P7</f>
        <v>0</v>
      </c>
      <c r="AB6" s="145"/>
      <c r="AC6" s="147"/>
    </row>
    <row r="7" spans="1:30" ht="8.25" hidden="1" customHeight="1">
      <c r="A7" s="55"/>
      <c r="B7" s="56"/>
      <c r="C7" s="56"/>
      <c r="D7" s="56"/>
      <c r="E7" s="56"/>
      <c r="F7" s="56"/>
      <c r="G7" s="56"/>
      <c r="H7" s="56"/>
      <c r="I7" s="56"/>
      <c r="J7" s="56"/>
      <c r="K7" s="56"/>
      <c r="L7" s="57"/>
      <c r="M7" s="57"/>
      <c r="N7" s="57"/>
      <c r="O7" s="57"/>
      <c r="P7" s="57"/>
      <c r="Q7" s="57"/>
      <c r="R7" s="57"/>
      <c r="S7" s="57"/>
      <c r="T7" s="56"/>
      <c r="U7" s="56"/>
      <c r="V7" s="57"/>
      <c r="W7" s="57"/>
      <c r="X7" s="57"/>
      <c r="Y7" s="57"/>
      <c r="Z7" s="57"/>
      <c r="AA7" s="57"/>
      <c r="AB7" s="57"/>
      <c r="AC7" s="58"/>
    </row>
    <row r="8" spans="1:30" ht="24" customHeight="1">
      <c r="A8" s="125" t="s">
        <v>94</v>
      </c>
      <c r="B8" s="125"/>
      <c r="C8" s="126" t="s">
        <v>95</v>
      </c>
      <c r="D8" s="126"/>
      <c r="E8" s="126"/>
      <c r="F8" s="127" t="s">
        <v>179</v>
      </c>
      <c r="G8" s="127"/>
      <c r="H8" s="127"/>
      <c r="I8" s="127"/>
      <c r="J8" s="127"/>
      <c r="K8" s="127"/>
      <c r="L8" s="127"/>
      <c r="M8" s="127"/>
      <c r="N8" s="127"/>
      <c r="O8" s="127"/>
      <c r="P8" s="160" t="s">
        <v>96</v>
      </c>
      <c r="Q8" s="160"/>
      <c r="R8" s="160"/>
      <c r="S8" s="161"/>
      <c r="T8" s="161"/>
      <c r="U8" s="161"/>
      <c r="V8" s="161"/>
      <c r="W8" s="161"/>
      <c r="X8" s="161"/>
      <c r="Y8" s="161"/>
      <c r="Z8" s="161"/>
      <c r="AA8" s="162" t="s">
        <v>168</v>
      </c>
      <c r="AB8" s="162"/>
      <c r="AC8" s="162"/>
    </row>
    <row r="9" spans="1:30" ht="24" customHeight="1">
      <c r="A9" s="163" t="s">
        <v>175</v>
      </c>
      <c r="B9" s="163"/>
      <c r="C9" s="163"/>
      <c r="D9" s="163"/>
      <c r="E9" s="163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60"/>
      <c r="Q9" s="160"/>
      <c r="R9" s="160"/>
      <c r="S9" s="161"/>
      <c r="T9" s="161"/>
      <c r="U9" s="161"/>
      <c r="V9" s="161"/>
      <c r="W9" s="161"/>
      <c r="X9" s="161"/>
      <c r="Y9" s="161"/>
      <c r="Z9" s="161"/>
      <c r="AA9" s="164">
        <f>'Check List'!X50</f>
        <v>0</v>
      </c>
      <c r="AB9" s="164"/>
      <c r="AC9" s="164"/>
    </row>
    <row r="10" spans="1:30" ht="22.5" customHeight="1">
      <c r="A10" s="163"/>
      <c r="B10" s="163"/>
      <c r="C10" s="163"/>
      <c r="D10" s="163"/>
      <c r="E10" s="163"/>
      <c r="F10" s="165" t="s">
        <v>97</v>
      </c>
      <c r="G10" s="165"/>
      <c r="H10" s="165"/>
      <c r="I10" s="165"/>
      <c r="J10" s="165"/>
      <c r="K10" s="165"/>
      <c r="L10" s="165" t="s">
        <v>98</v>
      </c>
      <c r="M10" s="165"/>
      <c r="N10" s="165"/>
      <c r="O10" s="165"/>
      <c r="P10" s="146" t="s">
        <v>99</v>
      </c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</row>
    <row r="11" spans="1:30" ht="23.25" customHeight="1">
      <c r="A11" s="163"/>
      <c r="B11" s="163"/>
      <c r="C11" s="163"/>
      <c r="D11" s="163"/>
      <c r="E11" s="163"/>
      <c r="F11" s="166" t="s">
        <v>100</v>
      </c>
      <c r="G11" s="166"/>
      <c r="H11" s="166"/>
      <c r="I11" s="166"/>
      <c r="J11" s="166"/>
      <c r="K11" s="166"/>
      <c r="L11" s="166" t="s">
        <v>100</v>
      </c>
      <c r="M11" s="166"/>
      <c r="N11" s="166"/>
      <c r="O11" s="166"/>
      <c r="P11" s="116" t="s">
        <v>174</v>
      </c>
      <c r="Q11" s="116" t="s">
        <v>169</v>
      </c>
      <c r="R11" s="116" t="s">
        <v>173</v>
      </c>
      <c r="S11" s="117"/>
      <c r="T11" s="116" t="s">
        <v>172</v>
      </c>
      <c r="U11" s="117"/>
      <c r="V11" s="116" t="s">
        <v>171</v>
      </c>
      <c r="W11" s="123"/>
      <c r="X11" s="117"/>
      <c r="Y11" s="116" t="s">
        <v>170</v>
      </c>
      <c r="Z11" s="123"/>
      <c r="AA11" s="116" t="s">
        <v>180</v>
      </c>
      <c r="AB11" s="123"/>
      <c r="AC11" s="116" t="s">
        <v>128</v>
      </c>
    </row>
    <row r="12" spans="1:30" ht="23.25" customHeight="1">
      <c r="A12" s="163"/>
      <c r="B12" s="163"/>
      <c r="C12" s="163"/>
      <c r="D12" s="163"/>
      <c r="E12" s="163"/>
      <c r="F12" s="166" t="s">
        <v>101</v>
      </c>
      <c r="G12" s="166"/>
      <c r="H12" s="166"/>
      <c r="I12" s="166"/>
      <c r="J12" s="166"/>
      <c r="K12" s="166"/>
      <c r="L12" s="167" t="s">
        <v>101</v>
      </c>
      <c r="M12" s="167"/>
      <c r="N12" s="167"/>
      <c r="O12" s="167"/>
      <c r="P12" s="118"/>
      <c r="Q12" s="118"/>
      <c r="R12" s="118"/>
      <c r="S12" s="119"/>
      <c r="T12" s="118"/>
      <c r="U12" s="119"/>
      <c r="V12" s="118"/>
      <c r="W12" s="124"/>
      <c r="X12" s="119"/>
      <c r="Y12" s="118"/>
      <c r="Z12" s="124"/>
      <c r="AA12" s="118"/>
      <c r="AB12" s="124"/>
      <c r="AC12" s="118"/>
    </row>
    <row r="13" spans="1:30" ht="15" customHeight="1">
      <c r="A13" s="163"/>
      <c r="B13" s="163"/>
      <c r="C13" s="163"/>
      <c r="D13" s="163"/>
      <c r="E13" s="163"/>
      <c r="F13" s="166"/>
      <c r="G13" s="166"/>
      <c r="H13" s="166"/>
      <c r="I13" s="166"/>
      <c r="J13" s="166"/>
      <c r="K13" s="166"/>
      <c r="L13" s="167"/>
      <c r="M13" s="167"/>
      <c r="N13" s="167"/>
      <c r="O13" s="167"/>
      <c r="P13" s="128"/>
      <c r="Q13" s="128"/>
      <c r="R13" s="154"/>
      <c r="S13" s="155"/>
      <c r="T13" s="154"/>
      <c r="U13" s="155"/>
      <c r="V13" s="110"/>
      <c r="W13" s="158"/>
      <c r="X13" s="111"/>
      <c r="Y13" s="110"/>
      <c r="Z13" s="111"/>
      <c r="AA13" s="110"/>
      <c r="AB13" s="111"/>
      <c r="AC13" s="114"/>
    </row>
    <row r="14" spans="1:30" ht="15" customHeight="1">
      <c r="A14" s="163"/>
      <c r="B14" s="163"/>
      <c r="C14" s="163"/>
      <c r="D14" s="163"/>
      <c r="E14" s="163"/>
      <c r="F14" s="166"/>
      <c r="G14" s="166"/>
      <c r="H14" s="166"/>
      <c r="I14" s="166"/>
      <c r="J14" s="166"/>
      <c r="K14" s="166"/>
      <c r="L14" s="167"/>
      <c r="M14" s="167"/>
      <c r="N14" s="167"/>
      <c r="O14" s="167"/>
      <c r="P14" s="129"/>
      <c r="Q14" s="129"/>
      <c r="R14" s="156"/>
      <c r="S14" s="157"/>
      <c r="T14" s="156"/>
      <c r="U14" s="157"/>
      <c r="V14" s="112"/>
      <c r="W14" s="159"/>
      <c r="X14" s="113"/>
      <c r="Y14" s="112"/>
      <c r="Z14" s="113"/>
      <c r="AA14" s="112"/>
      <c r="AB14" s="113"/>
      <c r="AC14" s="115"/>
    </row>
    <row r="15" spans="1:30" ht="28.5" customHeight="1">
      <c r="A15" s="116" t="s">
        <v>102</v>
      </c>
      <c r="B15" s="123"/>
      <c r="C15" s="117"/>
      <c r="D15" s="116" t="s">
        <v>181</v>
      </c>
      <c r="E15" s="117"/>
      <c r="F15" s="116" t="s">
        <v>183</v>
      </c>
      <c r="G15" s="117"/>
      <c r="H15" s="116" t="s">
        <v>182</v>
      </c>
      <c r="I15" s="117"/>
      <c r="J15" s="116" t="s">
        <v>184</v>
      </c>
      <c r="K15" s="117"/>
      <c r="L15" s="116" t="s">
        <v>185</v>
      </c>
      <c r="M15" s="117"/>
      <c r="N15" s="116" t="s">
        <v>103</v>
      </c>
      <c r="O15" s="117"/>
      <c r="P15" s="116" t="s">
        <v>104</v>
      </c>
      <c r="Q15" s="117"/>
      <c r="R15" s="116" t="s">
        <v>105</v>
      </c>
      <c r="S15" s="117"/>
      <c r="T15" s="116" t="s">
        <v>106</v>
      </c>
      <c r="U15" s="117"/>
      <c r="V15" s="120" t="s">
        <v>107</v>
      </c>
      <c r="W15" s="121"/>
      <c r="X15" s="121"/>
      <c r="Y15" s="122"/>
      <c r="Z15" s="116" t="s">
        <v>186</v>
      </c>
      <c r="AA15" s="117"/>
      <c r="AB15" s="116" t="s">
        <v>108</v>
      </c>
      <c r="AC15" s="117"/>
    </row>
    <row r="16" spans="1:30" ht="28.5" customHeight="1">
      <c r="A16" s="118"/>
      <c r="B16" s="124"/>
      <c r="C16" s="119"/>
      <c r="D16" s="118"/>
      <c r="E16" s="119"/>
      <c r="F16" s="118"/>
      <c r="G16" s="119"/>
      <c r="H16" s="118"/>
      <c r="I16" s="119"/>
      <c r="J16" s="118"/>
      <c r="K16" s="119"/>
      <c r="L16" s="118"/>
      <c r="M16" s="119"/>
      <c r="N16" s="118"/>
      <c r="O16" s="119"/>
      <c r="P16" s="118"/>
      <c r="Q16" s="119"/>
      <c r="R16" s="59" t="s">
        <v>109</v>
      </c>
      <c r="S16" s="69" t="s">
        <v>110</v>
      </c>
      <c r="T16" s="59" t="s">
        <v>109</v>
      </c>
      <c r="U16" s="69" t="s">
        <v>110</v>
      </c>
      <c r="V16" s="120" t="s">
        <v>111</v>
      </c>
      <c r="W16" s="122"/>
      <c r="X16" s="120" t="s">
        <v>112</v>
      </c>
      <c r="Y16" s="122"/>
      <c r="Z16" s="118"/>
      <c r="AA16" s="119"/>
      <c r="AB16" s="118"/>
      <c r="AC16" s="119"/>
    </row>
    <row r="17" spans="1:29" ht="28.5" customHeight="1">
      <c r="A17" s="168"/>
      <c r="B17" s="169"/>
      <c r="C17" s="170"/>
      <c r="D17" s="171"/>
      <c r="E17" s="172"/>
      <c r="F17" s="173"/>
      <c r="G17" s="174"/>
      <c r="H17" s="175"/>
      <c r="I17" s="176"/>
      <c r="J17" s="177"/>
      <c r="K17" s="178"/>
      <c r="L17" s="179"/>
      <c r="M17" s="180"/>
      <c r="N17" s="127"/>
      <c r="O17" s="127"/>
      <c r="P17" s="181"/>
      <c r="Q17" s="182"/>
      <c r="R17" s="60"/>
      <c r="S17" s="60"/>
      <c r="T17" s="60"/>
      <c r="U17" s="60"/>
      <c r="V17" s="127"/>
      <c r="W17" s="127"/>
      <c r="X17" s="127"/>
      <c r="Y17" s="127"/>
      <c r="Z17" s="127"/>
      <c r="AA17" s="127"/>
      <c r="AB17" s="162"/>
      <c r="AC17" s="162"/>
    </row>
    <row r="18" spans="1:29" ht="28.5" customHeight="1">
      <c r="A18" s="168"/>
      <c r="B18" s="169"/>
      <c r="C18" s="170"/>
      <c r="D18" s="183"/>
      <c r="E18" s="183"/>
      <c r="F18" s="173"/>
      <c r="G18" s="174"/>
      <c r="H18" s="175"/>
      <c r="I18" s="176"/>
      <c r="J18" s="184"/>
      <c r="K18" s="184"/>
      <c r="L18" s="127"/>
      <c r="M18" s="127"/>
      <c r="N18" s="127"/>
      <c r="O18" s="127"/>
      <c r="P18" s="181"/>
      <c r="Q18" s="182"/>
      <c r="R18" s="60"/>
      <c r="S18" s="60"/>
      <c r="T18" s="60"/>
      <c r="U18" s="60"/>
      <c r="V18" s="127"/>
      <c r="W18" s="127"/>
      <c r="X18" s="127"/>
      <c r="Y18" s="127"/>
      <c r="Z18" s="127"/>
      <c r="AA18" s="127"/>
      <c r="AB18" s="162"/>
      <c r="AC18" s="162"/>
    </row>
    <row r="19" spans="1:29" ht="28.5" customHeight="1">
      <c r="A19" s="168"/>
      <c r="B19" s="169"/>
      <c r="C19" s="170"/>
      <c r="D19" s="183"/>
      <c r="E19" s="183"/>
      <c r="F19" s="173"/>
      <c r="G19" s="174"/>
      <c r="H19" s="175"/>
      <c r="I19" s="176"/>
      <c r="J19" s="184"/>
      <c r="K19" s="184"/>
      <c r="L19" s="127"/>
      <c r="M19" s="127"/>
      <c r="N19" s="127"/>
      <c r="O19" s="127"/>
      <c r="P19" s="168"/>
      <c r="Q19" s="170"/>
      <c r="R19" s="60"/>
      <c r="S19" s="60"/>
      <c r="T19" s="60"/>
      <c r="U19" s="60"/>
      <c r="V19" s="127"/>
      <c r="W19" s="127"/>
      <c r="X19" s="127"/>
      <c r="Y19" s="127"/>
      <c r="Z19" s="127"/>
      <c r="AA19" s="127"/>
      <c r="AB19" s="162"/>
      <c r="AC19" s="162"/>
    </row>
    <row r="20" spans="1:29" ht="28.5" customHeight="1">
      <c r="A20" s="168"/>
      <c r="B20" s="169"/>
      <c r="C20" s="170"/>
      <c r="D20" s="183"/>
      <c r="E20" s="183"/>
      <c r="F20" s="173"/>
      <c r="G20" s="174"/>
      <c r="H20" s="175"/>
      <c r="I20" s="176"/>
      <c r="J20" s="184"/>
      <c r="K20" s="184"/>
      <c r="L20" s="127"/>
      <c r="M20" s="127"/>
      <c r="N20" s="127"/>
      <c r="O20" s="127"/>
      <c r="P20" s="168"/>
      <c r="Q20" s="170"/>
      <c r="R20" s="60"/>
      <c r="S20" s="60"/>
      <c r="T20" s="60"/>
      <c r="U20" s="60"/>
      <c r="V20" s="127"/>
      <c r="W20" s="127"/>
      <c r="X20" s="127"/>
      <c r="Y20" s="127"/>
      <c r="Z20" s="127"/>
      <c r="AA20" s="127"/>
      <c r="AB20" s="162"/>
      <c r="AC20" s="162"/>
    </row>
    <row r="21" spans="1:29" ht="28.5" customHeight="1">
      <c r="A21" s="168"/>
      <c r="B21" s="169"/>
      <c r="C21" s="170"/>
      <c r="D21" s="183"/>
      <c r="E21" s="183"/>
      <c r="F21" s="173"/>
      <c r="G21" s="174"/>
      <c r="H21" s="175"/>
      <c r="I21" s="176"/>
      <c r="J21" s="184"/>
      <c r="K21" s="184"/>
      <c r="L21" s="127"/>
      <c r="M21" s="127"/>
      <c r="N21" s="127"/>
      <c r="O21" s="127"/>
      <c r="P21" s="168"/>
      <c r="Q21" s="170"/>
      <c r="R21" s="60"/>
      <c r="S21" s="60"/>
      <c r="T21" s="60"/>
      <c r="U21" s="60"/>
      <c r="V21" s="127"/>
      <c r="W21" s="127"/>
      <c r="X21" s="127"/>
      <c r="Y21" s="127"/>
      <c r="Z21" s="127"/>
      <c r="AA21" s="127"/>
      <c r="AB21" s="162"/>
      <c r="AC21" s="162"/>
    </row>
    <row r="22" spans="1:29" ht="28.5" customHeight="1">
      <c r="A22" s="168"/>
      <c r="B22" s="169"/>
      <c r="C22" s="170"/>
      <c r="D22" s="171"/>
      <c r="E22" s="172"/>
      <c r="F22" s="173"/>
      <c r="G22" s="174"/>
      <c r="H22" s="175"/>
      <c r="I22" s="176"/>
      <c r="J22" s="184"/>
      <c r="K22" s="184"/>
      <c r="L22" s="127"/>
      <c r="M22" s="127"/>
      <c r="N22" s="127"/>
      <c r="O22" s="127"/>
      <c r="P22" s="168"/>
      <c r="Q22" s="170"/>
      <c r="R22" s="60"/>
      <c r="S22" s="60"/>
      <c r="T22" s="60"/>
      <c r="U22" s="60"/>
      <c r="V22" s="127"/>
      <c r="W22" s="127"/>
      <c r="X22" s="185"/>
      <c r="Y22" s="185"/>
      <c r="Z22" s="185"/>
      <c r="AA22" s="185"/>
      <c r="AB22" s="127"/>
      <c r="AC22" s="127"/>
    </row>
    <row r="23" spans="1:29" ht="28.5" customHeight="1">
      <c r="A23" s="168"/>
      <c r="B23" s="169"/>
      <c r="C23" s="170"/>
      <c r="D23" s="183"/>
      <c r="E23" s="183"/>
      <c r="F23" s="173"/>
      <c r="G23" s="174"/>
      <c r="H23" s="175"/>
      <c r="I23" s="176"/>
      <c r="J23" s="184"/>
      <c r="K23" s="184"/>
      <c r="L23" s="127"/>
      <c r="M23" s="127"/>
      <c r="N23" s="127"/>
      <c r="O23" s="127"/>
      <c r="P23" s="168"/>
      <c r="Q23" s="170"/>
      <c r="R23" s="60"/>
      <c r="S23" s="60"/>
      <c r="T23" s="60"/>
      <c r="U23" s="60"/>
      <c r="V23" s="127"/>
      <c r="W23" s="127"/>
      <c r="X23" s="185"/>
      <c r="Y23" s="185"/>
      <c r="Z23" s="185"/>
      <c r="AA23" s="185"/>
      <c r="AB23" s="162"/>
      <c r="AC23" s="162"/>
    </row>
    <row r="24" spans="1:29" ht="28.5" customHeight="1">
      <c r="A24" s="168"/>
      <c r="B24" s="169"/>
      <c r="C24" s="170"/>
      <c r="D24" s="183"/>
      <c r="E24" s="183"/>
      <c r="F24" s="173"/>
      <c r="G24" s="174"/>
      <c r="H24" s="175"/>
      <c r="I24" s="176"/>
      <c r="J24" s="184"/>
      <c r="K24" s="184"/>
      <c r="L24" s="127"/>
      <c r="M24" s="127"/>
      <c r="N24" s="127"/>
      <c r="O24" s="127"/>
      <c r="P24" s="168"/>
      <c r="Q24" s="170"/>
      <c r="R24" s="60"/>
      <c r="S24" s="60"/>
      <c r="T24" s="60"/>
      <c r="U24" s="60"/>
      <c r="V24" s="127"/>
      <c r="W24" s="127"/>
      <c r="X24" s="185"/>
      <c r="Y24" s="185"/>
      <c r="Z24" s="185"/>
      <c r="AA24" s="185"/>
      <c r="AB24" s="162"/>
      <c r="AC24" s="162"/>
    </row>
    <row r="25" spans="1:29" ht="28.5" customHeight="1">
      <c r="A25" s="168"/>
      <c r="B25" s="169"/>
      <c r="C25" s="170"/>
      <c r="D25" s="183"/>
      <c r="E25" s="183"/>
      <c r="F25" s="173"/>
      <c r="G25" s="174"/>
      <c r="H25" s="175"/>
      <c r="I25" s="176"/>
      <c r="J25" s="184"/>
      <c r="K25" s="184"/>
      <c r="L25" s="127"/>
      <c r="M25" s="127"/>
      <c r="N25" s="127"/>
      <c r="O25" s="127"/>
      <c r="P25" s="168"/>
      <c r="Q25" s="170"/>
      <c r="R25" s="60"/>
      <c r="S25" s="60"/>
      <c r="T25" s="60"/>
      <c r="U25" s="60"/>
      <c r="V25" s="127"/>
      <c r="W25" s="127"/>
      <c r="X25" s="127"/>
      <c r="Y25" s="127"/>
      <c r="Z25" s="127"/>
      <c r="AA25" s="127"/>
      <c r="AB25" s="127"/>
      <c r="AC25" s="127"/>
    </row>
    <row r="26" spans="1:29" ht="28.5" customHeight="1">
      <c r="A26" s="168"/>
      <c r="B26" s="169"/>
      <c r="C26" s="170"/>
      <c r="D26" s="183"/>
      <c r="E26" s="183"/>
      <c r="F26" s="173"/>
      <c r="G26" s="174"/>
      <c r="H26" s="175"/>
      <c r="I26" s="176"/>
      <c r="J26" s="184"/>
      <c r="K26" s="184"/>
      <c r="L26" s="127"/>
      <c r="M26" s="127"/>
      <c r="N26" s="127"/>
      <c r="O26" s="127"/>
      <c r="P26" s="168"/>
      <c r="Q26" s="170"/>
      <c r="R26" s="60"/>
      <c r="S26" s="60"/>
      <c r="T26" s="60"/>
      <c r="U26" s="60"/>
      <c r="V26" s="127"/>
      <c r="W26" s="127"/>
      <c r="X26" s="127"/>
      <c r="Y26" s="127"/>
      <c r="Z26" s="127"/>
      <c r="AA26" s="127"/>
      <c r="AB26" s="127"/>
      <c r="AC26" s="127"/>
    </row>
    <row r="27" spans="1:29" ht="28.5" customHeight="1">
      <c r="A27" s="168"/>
      <c r="B27" s="169"/>
      <c r="C27" s="170"/>
      <c r="D27" s="183"/>
      <c r="E27" s="183"/>
      <c r="F27" s="173"/>
      <c r="G27" s="174"/>
      <c r="H27" s="175"/>
      <c r="I27" s="176"/>
      <c r="J27" s="184"/>
      <c r="K27" s="184"/>
      <c r="L27" s="127"/>
      <c r="M27" s="127"/>
      <c r="N27" s="127"/>
      <c r="O27" s="127"/>
      <c r="P27" s="181"/>
      <c r="Q27" s="182"/>
      <c r="R27" s="60"/>
      <c r="S27" s="60"/>
      <c r="T27" s="60"/>
      <c r="U27" s="60"/>
      <c r="V27" s="127"/>
      <c r="W27" s="127"/>
      <c r="X27" s="127"/>
      <c r="Y27" s="127"/>
      <c r="Z27" s="127"/>
      <c r="AA27" s="127"/>
      <c r="AB27" s="127"/>
      <c r="AC27" s="127"/>
    </row>
    <row r="28" spans="1:29" ht="28.5" customHeight="1">
      <c r="A28" s="168"/>
      <c r="B28" s="169"/>
      <c r="C28" s="170"/>
      <c r="D28" s="183"/>
      <c r="E28" s="183"/>
      <c r="F28" s="173"/>
      <c r="G28" s="174"/>
      <c r="H28" s="175"/>
      <c r="I28" s="176"/>
      <c r="J28" s="184"/>
      <c r="K28" s="184"/>
      <c r="L28" s="187"/>
      <c r="M28" s="127"/>
      <c r="N28" s="127"/>
      <c r="O28" s="127"/>
      <c r="P28" s="186"/>
      <c r="Q28" s="186"/>
      <c r="R28" s="60"/>
      <c r="S28" s="60"/>
      <c r="T28" s="60"/>
      <c r="U28" s="60"/>
      <c r="V28" s="127"/>
      <c r="W28" s="127"/>
      <c r="X28" s="127"/>
      <c r="Y28" s="127"/>
      <c r="Z28" s="127"/>
      <c r="AA28" s="127"/>
      <c r="AB28" s="127"/>
      <c r="AC28" s="127"/>
    </row>
    <row r="29" spans="1:29" ht="28.5" customHeight="1">
      <c r="A29" s="168"/>
      <c r="B29" s="169"/>
      <c r="C29" s="170"/>
      <c r="D29" s="183"/>
      <c r="E29" s="183"/>
      <c r="F29" s="173"/>
      <c r="G29" s="174"/>
      <c r="H29" s="175"/>
      <c r="I29" s="176"/>
      <c r="J29" s="184"/>
      <c r="K29" s="184"/>
      <c r="L29" s="127"/>
      <c r="M29" s="127"/>
      <c r="N29" s="127"/>
      <c r="O29" s="127"/>
      <c r="P29" s="186"/>
      <c r="Q29" s="186"/>
      <c r="R29" s="60"/>
      <c r="S29" s="60"/>
      <c r="T29" s="60"/>
      <c r="U29" s="60"/>
      <c r="V29" s="127"/>
      <c r="W29" s="127"/>
      <c r="X29" s="127"/>
      <c r="Y29" s="127"/>
      <c r="Z29" s="127"/>
      <c r="AA29" s="127"/>
      <c r="AB29" s="127"/>
      <c r="AC29" s="127"/>
    </row>
    <row r="30" spans="1:29" ht="28.5" customHeight="1">
      <c r="A30" s="168"/>
      <c r="B30" s="169"/>
      <c r="C30" s="170"/>
      <c r="D30" s="183"/>
      <c r="E30" s="183"/>
      <c r="F30" s="188"/>
      <c r="G30" s="188"/>
      <c r="H30" s="189"/>
      <c r="I30" s="189"/>
      <c r="J30" s="184"/>
      <c r="K30" s="184"/>
      <c r="L30" s="127"/>
      <c r="M30" s="127"/>
      <c r="N30" s="127"/>
      <c r="O30" s="127"/>
      <c r="P30" s="186"/>
      <c r="Q30" s="186"/>
      <c r="R30" s="60"/>
      <c r="S30" s="60"/>
      <c r="T30" s="60"/>
      <c r="U30" s="60"/>
      <c r="V30" s="127"/>
      <c r="W30" s="127"/>
      <c r="X30" s="127"/>
      <c r="Y30" s="127"/>
      <c r="Z30" s="127"/>
      <c r="AA30" s="127"/>
      <c r="AB30" s="127"/>
      <c r="AC30" s="127"/>
    </row>
    <row r="31" spans="1:29" ht="28.5" customHeight="1">
      <c r="A31" s="168"/>
      <c r="B31" s="169"/>
      <c r="C31" s="170"/>
      <c r="D31" s="183"/>
      <c r="E31" s="183"/>
      <c r="F31" s="188"/>
      <c r="G31" s="188"/>
      <c r="H31" s="189"/>
      <c r="I31" s="189"/>
      <c r="J31" s="184"/>
      <c r="K31" s="184"/>
      <c r="L31" s="127"/>
      <c r="M31" s="127"/>
      <c r="N31" s="127"/>
      <c r="O31" s="127"/>
      <c r="P31" s="186"/>
      <c r="Q31" s="186"/>
      <c r="R31" s="60"/>
      <c r="S31" s="60"/>
      <c r="T31" s="60"/>
      <c r="U31" s="60"/>
      <c r="V31" s="127"/>
      <c r="W31" s="127"/>
      <c r="X31" s="127"/>
      <c r="Y31" s="127"/>
      <c r="Z31" s="127"/>
      <c r="AA31" s="127"/>
      <c r="AB31" s="127"/>
      <c r="AC31" s="127"/>
    </row>
    <row r="32" spans="1:29" ht="28.5" customHeight="1">
      <c r="A32" s="186"/>
      <c r="B32" s="186"/>
      <c r="C32" s="186"/>
      <c r="D32" s="183"/>
      <c r="E32" s="183"/>
      <c r="F32" s="188"/>
      <c r="G32" s="188"/>
      <c r="H32" s="189"/>
      <c r="I32" s="189"/>
      <c r="J32" s="184"/>
      <c r="K32" s="184"/>
      <c r="L32" s="127"/>
      <c r="M32" s="127"/>
      <c r="N32" s="127"/>
      <c r="O32" s="127"/>
      <c r="P32" s="186"/>
      <c r="Q32" s="186"/>
      <c r="R32" s="60"/>
      <c r="S32" s="60"/>
      <c r="T32" s="60"/>
      <c r="U32" s="60"/>
      <c r="V32" s="127"/>
      <c r="W32" s="127"/>
      <c r="X32" s="127"/>
      <c r="Y32" s="127"/>
      <c r="Z32" s="127"/>
      <c r="AA32" s="127"/>
      <c r="AB32" s="127"/>
      <c r="AC32" s="127"/>
    </row>
    <row r="33" spans="1:29" ht="28.5" customHeight="1">
      <c r="A33" s="186"/>
      <c r="B33" s="186"/>
      <c r="C33" s="186"/>
      <c r="D33" s="183"/>
      <c r="E33" s="183"/>
      <c r="F33" s="188"/>
      <c r="G33" s="188"/>
      <c r="H33" s="189"/>
      <c r="I33" s="189"/>
      <c r="J33" s="184"/>
      <c r="K33" s="184"/>
      <c r="L33" s="127" t="s">
        <v>113</v>
      </c>
      <c r="M33" s="127"/>
      <c r="N33" s="127"/>
      <c r="O33" s="127"/>
      <c r="P33" s="186"/>
      <c r="Q33" s="186"/>
      <c r="R33" s="60"/>
      <c r="S33" s="60"/>
      <c r="T33" s="60"/>
      <c r="U33" s="60"/>
      <c r="V33" s="127"/>
      <c r="W33" s="127"/>
      <c r="X33" s="127"/>
      <c r="Y33" s="127"/>
      <c r="Z33" s="127"/>
      <c r="AA33" s="127"/>
      <c r="AB33" s="127"/>
      <c r="AC33" s="127"/>
    </row>
    <row r="34" spans="1:29" ht="28.5" customHeight="1">
      <c r="A34" s="186"/>
      <c r="B34" s="186"/>
      <c r="C34" s="186"/>
      <c r="D34" s="183"/>
      <c r="E34" s="183"/>
      <c r="F34" s="188"/>
      <c r="G34" s="188"/>
      <c r="H34" s="189"/>
      <c r="I34" s="189"/>
      <c r="J34" s="184" t="s">
        <v>114</v>
      </c>
      <c r="K34" s="184"/>
      <c r="L34" s="127"/>
      <c r="M34" s="127"/>
      <c r="N34" s="127"/>
      <c r="O34" s="127"/>
      <c r="P34" s="186"/>
      <c r="Q34" s="186"/>
      <c r="R34" s="60"/>
      <c r="S34" s="60"/>
      <c r="T34" s="60"/>
      <c r="U34" s="60"/>
      <c r="V34" s="127"/>
      <c r="W34" s="127"/>
      <c r="X34" s="127"/>
      <c r="Y34" s="127"/>
      <c r="Z34" s="127"/>
      <c r="AA34" s="127"/>
      <c r="AB34" s="127"/>
      <c r="AC34" s="127"/>
    </row>
    <row r="35" spans="1:29" ht="28.5" customHeight="1">
      <c r="A35" s="186"/>
      <c r="B35" s="186"/>
      <c r="C35" s="186"/>
      <c r="D35" s="183"/>
      <c r="E35" s="183"/>
      <c r="F35" s="188"/>
      <c r="G35" s="188"/>
      <c r="H35" s="189"/>
      <c r="I35" s="189"/>
      <c r="J35" s="184"/>
      <c r="K35" s="184"/>
      <c r="L35" s="127"/>
      <c r="M35" s="127"/>
      <c r="N35" s="127"/>
      <c r="O35" s="127"/>
      <c r="P35" s="186"/>
      <c r="Q35" s="186"/>
      <c r="R35" s="60"/>
      <c r="S35" s="60"/>
      <c r="T35" s="60"/>
      <c r="U35" s="60"/>
      <c r="V35" s="127"/>
      <c r="W35" s="127"/>
      <c r="X35" s="127"/>
      <c r="Y35" s="127"/>
      <c r="Z35" s="127"/>
      <c r="AA35" s="127"/>
      <c r="AB35" s="127"/>
      <c r="AC35" s="127"/>
    </row>
    <row r="36" spans="1:29" ht="18" customHeight="1">
      <c r="A36" s="190" t="s">
        <v>115</v>
      </c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</row>
    <row r="37" spans="1:29" ht="23.25" customHeight="1">
      <c r="A37" s="116" t="s">
        <v>187</v>
      </c>
      <c r="B37" s="203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5"/>
      <c r="S37" s="116" t="s">
        <v>116</v>
      </c>
      <c r="T37" s="123"/>
      <c r="U37" s="123"/>
      <c r="V37" s="123"/>
      <c r="W37" s="117"/>
      <c r="X37" s="125" t="s">
        <v>19</v>
      </c>
      <c r="Y37" s="195" t="s">
        <v>45</v>
      </c>
      <c r="Z37" s="196"/>
      <c r="AA37" s="125"/>
      <c r="AB37" s="195" t="s">
        <v>46</v>
      </c>
      <c r="AC37" s="196"/>
    </row>
    <row r="38" spans="1:29" ht="23.25" customHeight="1">
      <c r="A38" s="192"/>
      <c r="B38" s="203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5"/>
      <c r="S38" s="192"/>
      <c r="T38" s="193"/>
      <c r="U38" s="193"/>
      <c r="V38" s="193"/>
      <c r="W38" s="194"/>
      <c r="X38" s="125"/>
      <c r="Y38" s="197"/>
      <c r="Z38" s="198"/>
      <c r="AA38" s="125"/>
      <c r="AB38" s="197"/>
      <c r="AC38" s="198"/>
    </row>
    <row r="39" spans="1:29" ht="23.25" customHeight="1">
      <c r="A39" s="118"/>
      <c r="B39" s="206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8"/>
      <c r="S39" s="118"/>
      <c r="T39" s="124"/>
      <c r="U39" s="124"/>
      <c r="V39" s="124"/>
      <c r="W39" s="119"/>
      <c r="X39" s="125"/>
      <c r="Y39" s="199"/>
      <c r="Z39" s="200"/>
      <c r="AA39" s="125"/>
      <c r="AB39" s="199"/>
      <c r="AC39" s="200"/>
    </row>
    <row r="40" spans="1:29" ht="8.25" customHeight="1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 t="s">
        <v>114</v>
      </c>
      <c r="R40" s="62"/>
      <c r="S40" s="63"/>
      <c r="T40" s="63"/>
      <c r="U40" s="64"/>
      <c r="V40" s="65"/>
      <c r="W40" s="65"/>
      <c r="X40" s="66"/>
      <c r="Y40" s="66"/>
      <c r="Z40" s="66"/>
      <c r="AA40" s="66"/>
      <c r="AB40" s="66"/>
      <c r="AC40" s="67"/>
    </row>
    <row r="41" spans="1:29" ht="30" customHeight="1">
      <c r="A41" s="116" t="s">
        <v>117</v>
      </c>
      <c r="B41" s="123"/>
      <c r="C41" s="37">
        <f>SUM(F17:F35)</f>
        <v>0</v>
      </c>
      <c r="D41" s="120" t="s">
        <v>118</v>
      </c>
      <c r="E41" s="121"/>
      <c r="F41" s="121"/>
      <c r="G41" s="122"/>
      <c r="H41" s="201">
        <f>SUM(H17:H35)</f>
        <v>0</v>
      </c>
      <c r="I41" s="201"/>
      <c r="J41" s="120" t="s">
        <v>119</v>
      </c>
      <c r="K41" s="121"/>
      <c r="L41" s="121"/>
      <c r="M41" s="122"/>
      <c r="N41" s="202"/>
      <c r="O41" s="202"/>
      <c r="P41" s="120" t="s">
        <v>120</v>
      </c>
      <c r="Q41" s="121"/>
      <c r="R41" s="121"/>
      <c r="S41" s="201">
        <v>0</v>
      </c>
      <c r="T41" s="201"/>
      <c r="U41" s="201"/>
      <c r="V41" s="120" t="s">
        <v>121</v>
      </c>
      <c r="W41" s="121"/>
      <c r="X41" s="121"/>
      <c r="Y41" s="121"/>
      <c r="Z41" s="122"/>
      <c r="AA41" s="201">
        <f>SUM(D17:D35)</f>
        <v>0</v>
      </c>
      <c r="AB41" s="201"/>
      <c r="AC41" s="201"/>
    </row>
    <row r="42" spans="1:29" s="68" customFormat="1" ht="18" customHeight="1">
      <c r="A42" s="116" t="s">
        <v>84</v>
      </c>
      <c r="B42" s="123"/>
      <c r="C42" s="117"/>
      <c r="D42" s="120" t="s">
        <v>85</v>
      </c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2"/>
      <c r="S42" s="120" t="s">
        <v>86</v>
      </c>
      <c r="T42" s="121"/>
      <c r="U42" s="121"/>
      <c r="V42" s="121"/>
      <c r="W42" s="121"/>
      <c r="X42" s="121"/>
      <c r="Y42" s="121"/>
      <c r="Z42" s="121"/>
      <c r="AA42" s="121"/>
      <c r="AB42" s="121"/>
      <c r="AC42" s="121"/>
    </row>
    <row r="43" spans="1:29" s="68" customFormat="1" ht="29.25" customHeight="1">
      <c r="A43" s="192"/>
      <c r="B43" s="193"/>
      <c r="C43" s="194"/>
      <c r="D43" s="209">
        <f>'Check List'!D64</f>
        <v>0</v>
      </c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</row>
    <row r="44" spans="1:29" s="68" customFormat="1" ht="29.25" customHeight="1">
      <c r="A44" s="118"/>
      <c r="B44" s="124"/>
      <c r="C44" s="119"/>
      <c r="D44" s="164">
        <f>'Check List'!D65</f>
        <v>0</v>
      </c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210"/>
      <c r="T44" s="210"/>
      <c r="U44" s="210"/>
      <c r="V44" s="210"/>
      <c r="W44" s="210"/>
      <c r="X44" s="210"/>
      <c r="Y44" s="210"/>
      <c r="Z44" s="210"/>
      <c r="AA44" s="210"/>
      <c r="AB44" s="210"/>
      <c r="AC44" s="210"/>
    </row>
    <row r="45" spans="1:29" s="68" customFormat="1" ht="29.25" customHeight="1">
      <c r="A45" s="211" t="s">
        <v>122</v>
      </c>
      <c r="B45" s="211"/>
      <c r="C45" s="211"/>
      <c r="D45" s="212" t="str">
        <f>'Check List'!D67</f>
        <v>JULIANA MONTEIRO</v>
      </c>
      <c r="E45" s="212"/>
      <c r="F45" s="212"/>
      <c r="G45" s="212"/>
      <c r="H45" s="212"/>
      <c r="I45" s="212"/>
      <c r="J45" s="212"/>
      <c r="K45" s="212"/>
      <c r="L45" s="212"/>
      <c r="M45" s="211" t="s">
        <v>88</v>
      </c>
      <c r="N45" s="211"/>
      <c r="O45" s="211"/>
      <c r="P45" s="212" t="str">
        <f>'Check List'!M67</f>
        <v>AUX. PRODUÇAO</v>
      </c>
      <c r="Q45" s="212"/>
      <c r="R45" s="212"/>
      <c r="S45" s="211" t="s">
        <v>90</v>
      </c>
      <c r="T45" s="211"/>
      <c r="U45" s="211"/>
      <c r="V45" s="211"/>
      <c r="W45" s="212"/>
      <c r="X45" s="212"/>
      <c r="Y45" s="212"/>
      <c r="Z45" s="212"/>
      <c r="AA45" s="212"/>
      <c r="AB45" s="212"/>
      <c r="AC45" s="212"/>
    </row>
    <row r="56" spans="28:28">
      <c r="AB56" s="36" t="s">
        <v>113</v>
      </c>
    </row>
  </sheetData>
  <mergeCells count="319">
    <mergeCell ref="A42:C44"/>
    <mergeCell ref="D42:R42"/>
    <mergeCell ref="S42:AC42"/>
    <mergeCell ref="D43:R43"/>
    <mergeCell ref="S43:AC43"/>
    <mergeCell ref="D44:R44"/>
    <mergeCell ref="S44:AC44"/>
    <mergeCell ref="A45:C45"/>
    <mergeCell ref="D45:L45"/>
    <mergeCell ref="M45:O45"/>
    <mergeCell ref="P45:R45"/>
    <mergeCell ref="S45:V45"/>
    <mergeCell ref="W45:AC45"/>
    <mergeCell ref="A36:AC36"/>
    <mergeCell ref="A37:A39"/>
    <mergeCell ref="S37:W39"/>
    <mergeCell ref="X37:X39"/>
    <mergeCell ref="Y37:Z39"/>
    <mergeCell ref="AA37:AA39"/>
    <mergeCell ref="AB37:AC39"/>
    <mergeCell ref="A41:B41"/>
    <mergeCell ref="D41:G41"/>
    <mergeCell ref="H41:I41"/>
    <mergeCell ref="J41:M41"/>
    <mergeCell ref="N41:O41"/>
    <mergeCell ref="P41:R41"/>
    <mergeCell ref="S41:U41"/>
    <mergeCell ref="V41:Z41"/>
    <mergeCell ref="AA41:AC41"/>
    <mergeCell ref="B37:R37"/>
    <mergeCell ref="B38:R38"/>
    <mergeCell ref="B39:R39"/>
    <mergeCell ref="X34:Y34"/>
    <mergeCell ref="Z34:AA34"/>
    <mergeCell ref="AB34:AC34"/>
    <mergeCell ref="A35:C35"/>
    <mergeCell ref="D35:E35"/>
    <mergeCell ref="F35:G35"/>
    <mergeCell ref="H35:I35"/>
    <mergeCell ref="J35:K35"/>
    <mergeCell ref="L35:M35"/>
    <mergeCell ref="N35:O35"/>
    <mergeCell ref="P35:Q35"/>
    <mergeCell ref="V35:W35"/>
    <mergeCell ref="X35:Y35"/>
    <mergeCell ref="Z35:AA35"/>
    <mergeCell ref="AB35:AC35"/>
    <mergeCell ref="A34:C34"/>
    <mergeCell ref="D34:E34"/>
    <mergeCell ref="F34:G34"/>
    <mergeCell ref="H34:I34"/>
    <mergeCell ref="J34:K34"/>
    <mergeCell ref="L34:M34"/>
    <mergeCell ref="N34:O34"/>
    <mergeCell ref="P34:Q34"/>
    <mergeCell ref="V34:W34"/>
    <mergeCell ref="X32:Y32"/>
    <mergeCell ref="Z32:AA32"/>
    <mergeCell ref="AB32:AC32"/>
    <mergeCell ref="A33:C33"/>
    <mergeCell ref="D33:E33"/>
    <mergeCell ref="F33:G33"/>
    <mergeCell ref="H33:I33"/>
    <mergeCell ref="J33:K33"/>
    <mergeCell ref="L33:M33"/>
    <mergeCell ref="N33:O33"/>
    <mergeCell ref="P33:Q33"/>
    <mergeCell ref="V33:W33"/>
    <mergeCell ref="X33:Y33"/>
    <mergeCell ref="Z33:AA33"/>
    <mergeCell ref="AB33:AC33"/>
    <mergeCell ref="A32:C32"/>
    <mergeCell ref="D32:E32"/>
    <mergeCell ref="F32:G32"/>
    <mergeCell ref="H32:I32"/>
    <mergeCell ref="J32:K32"/>
    <mergeCell ref="L32:M32"/>
    <mergeCell ref="N32:O32"/>
    <mergeCell ref="P32:Q32"/>
    <mergeCell ref="V32:W32"/>
    <mergeCell ref="X30:Y30"/>
    <mergeCell ref="Z30:AA30"/>
    <mergeCell ref="AB30:AC30"/>
    <mergeCell ref="A31:C31"/>
    <mergeCell ref="D31:E31"/>
    <mergeCell ref="F31:G31"/>
    <mergeCell ref="H31:I31"/>
    <mergeCell ref="J31:K31"/>
    <mergeCell ref="L31:M31"/>
    <mergeCell ref="N31:O31"/>
    <mergeCell ref="P31:Q31"/>
    <mergeCell ref="V31:W31"/>
    <mergeCell ref="X31:Y31"/>
    <mergeCell ref="Z31:AA31"/>
    <mergeCell ref="AB31:AC31"/>
    <mergeCell ref="A30:C30"/>
    <mergeCell ref="D30:E30"/>
    <mergeCell ref="F30:G30"/>
    <mergeCell ref="H30:I30"/>
    <mergeCell ref="J30:K30"/>
    <mergeCell ref="L30:M30"/>
    <mergeCell ref="N30:O30"/>
    <mergeCell ref="P30:Q30"/>
    <mergeCell ref="V30:W30"/>
    <mergeCell ref="X28:Y28"/>
    <mergeCell ref="Z28:AA28"/>
    <mergeCell ref="AB28:AC28"/>
    <mergeCell ref="A29:C29"/>
    <mergeCell ref="D29:E29"/>
    <mergeCell ref="F29:G29"/>
    <mergeCell ref="H29:I29"/>
    <mergeCell ref="J29:K29"/>
    <mergeCell ref="L29:M29"/>
    <mergeCell ref="N29:O29"/>
    <mergeCell ref="P29:Q29"/>
    <mergeCell ref="V29:W29"/>
    <mergeCell ref="X29:Y29"/>
    <mergeCell ref="Z29:AA29"/>
    <mergeCell ref="AB29:AC29"/>
    <mergeCell ref="A28:C28"/>
    <mergeCell ref="D28:E28"/>
    <mergeCell ref="F28:G28"/>
    <mergeCell ref="H28:I28"/>
    <mergeCell ref="J28:K28"/>
    <mergeCell ref="L28:M28"/>
    <mergeCell ref="N28:O28"/>
    <mergeCell ref="P28:Q28"/>
    <mergeCell ref="V28:W28"/>
    <mergeCell ref="X26:Y26"/>
    <mergeCell ref="Z26:AA26"/>
    <mergeCell ref="AB26:AC26"/>
    <mergeCell ref="A27:C27"/>
    <mergeCell ref="D27:E27"/>
    <mergeCell ref="F27:G27"/>
    <mergeCell ref="H27:I27"/>
    <mergeCell ref="J27:K27"/>
    <mergeCell ref="L27:M27"/>
    <mergeCell ref="N27:O27"/>
    <mergeCell ref="P27:Q27"/>
    <mergeCell ref="V27:W27"/>
    <mergeCell ref="X27:Y27"/>
    <mergeCell ref="Z27:AA27"/>
    <mergeCell ref="AB27:AC27"/>
    <mergeCell ref="A26:C26"/>
    <mergeCell ref="D26:E26"/>
    <mergeCell ref="F26:G26"/>
    <mergeCell ref="H26:I26"/>
    <mergeCell ref="J26:K26"/>
    <mergeCell ref="L26:M26"/>
    <mergeCell ref="N26:O26"/>
    <mergeCell ref="P26:Q26"/>
    <mergeCell ref="V26:W26"/>
    <mergeCell ref="X24:Y24"/>
    <mergeCell ref="Z24:AA24"/>
    <mergeCell ref="AB24:AC24"/>
    <mergeCell ref="A25:C25"/>
    <mergeCell ref="D25:E25"/>
    <mergeCell ref="F25:G25"/>
    <mergeCell ref="H25:I25"/>
    <mergeCell ref="J25:K25"/>
    <mergeCell ref="L25:M25"/>
    <mergeCell ref="N25:O25"/>
    <mergeCell ref="P25:Q25"/>
    <mergeCell ref="V25:W25"/>
    <mergeCell ref="X25:Y25"/>
    <mergeCell ref="Z25:AA25"/>
    <mergeCell ref="AB25:AC25"/>
    <mergeCell ref="A24:C24"/>
    <mergeCell ref="D24:E24"/>
    <mergeCell ref="F24:G24"/>
    <mergeCell ref="H24:I24"/>
    <mergeCell ref="J24:K24"/>
    <mergeCell ref="L24:M24"/>
    <mergeCell ref="N24:O24"/>
    <mergeCell ref="P24:Q24"/>
    <mergeCell ref="V24:W24"/>
    <mergeCell ref="X22:Y22"/>
    <mergeCell ref="Z22:AA22"/>
    <mergeCell ref="AB22:AC22"/>
    <mergeCell ref="A23:C23"/>
    <mergeCell ref="D23:E23"/>
    <mergeCell ref="F23:G23"/>
    <mergeCell ref="H23:I23"/>
    <mergeCell ref="J23:K23"/>
    <mergeCell ref="L23:M23"/>
    <mergeCell ref="N23:O23"/>
    <mergeCell ref="P23:Q23"/>
    <mergeCell ref="V23:W23"/>
    <mergeCell ref="X23:Y23"/>
    <mergeCell ref="Z23:AA23"/>
    <mergeCell ref="AB23:AC23"/>
    <mergeCell ref="A22:C22"/>
    <mergeCell ref="D22:E22"/>
    <mergeCell ref="F22:G22"/>
    <mergeCell ref="H22:I22"/>
    <mergeCell ref="J22:K22"/>
    <mergeCell ref="L22:M22"/>
    <mergeCell ref="N22:O22"/>
    <mergeCell ref="P22:Q22"/>
    <mergeCell ref="V22:W22"/>
    <mergeCell ref="X20:Y20"/>
    <mergeCell ref="Z20:AA20"/>
    <mergeCell ref="AB20:AC20"/>
    <mergeCell ref="A21:C21"/>
    <mergeCell ref="D21:E21"/>
    <mergeCell ref="F21:G21"/>
    <mergeCell ref="H21:I21"/>
    <mergeCell ref="J21:K21"/>
    <mergeCell ref="L21:M21"/>
    <mergeCell ref="N21:O21"/>
    <mergeCell ref="P21:Q21"/>
    <mergeCell ref="V21:W21"/>
    <mergeCell ref="X21:Y21"/>
    <mergeCell ref="Z21:AA21"/>
    <mergeCell ref="AB21:AC21"/>
    <mergeCell ref="A20:C20"/>
    <mergeCell ref="D20:E20"/>
    <mergeCell ref="F20:G20"/>
    <mergeCell ref="H20:I20"/>
    <mergeCell ref="J20:K20"/>
    <mergeCell ref="L20:M20"/>
    <mergeCell ref="N20:O20"/>
    <mergeCell ref="P20:Q20"/>
    <mergeCell ref="V20:W20"/>
    <mergeCell ref="X18:Y18"/>
    <mergeCell ref="Z18:AA18"/>
    <mergeCell ref="AB18:AC18"/>
    <mergeCell ref="A19:C19"/>
    <mergeCell ref="D19:E19"/>
    <mergeCell ref="F19:G19"/>
    <mergeCell ref="H19:I19"/>
    <mergeCell ref="J19:K19"/>
    <mergeCell ref="L19:M19"/>
    <mergeCell ref="N19:O19"/>
    <mergeCell ref="P19:Q19"/>
    <mergeCell ref="V19:W19"/>
    <mergeCell ref="X19:Y19"/>
    <mergeCell ref="Z19:AA19"/>
    <mergeCell ref="AB19:AC19"/>
    <mergeCell ref="A18:C18"/>
    <mergeCell ref="D18:E18"/>
    <mergeCell ref="F18:G18"/>
    <mergeCell ref="H18:I18"/>
    <mergeCell ref="J18:K18"/>
    <mergeCell ref="L18:M18"/>
    <mergeCell ref="N18:O18"/>
    <mergeCell ref="P18:Q18"/>
    <mergeCell ref="V18:W18"/>
    <mergeCell ref="X17:Y17"/>
    <mergeCell ref="Z17:AA17"/>
    <mergeCell ref="AB17:AC17"/>
    <mergeCell ref="A17:C17"/>
    <mergeCell ref="D17:E17"/>
    <mergeCell ref="F17:G17"/>
    <mergeCell ref="H17:I17"/>
    <mergeCell ref="J17:K17"/>
    <mergeCell ref="L17:M17"/>
    <mergeCell ref="N17:O17"/>
    <mergeCell ref="P17:Q17"/>
    <mergeCell ref="V17:W17"/>
    <mergeCell ref="A15:C16"/>
    <mergeCell ref="D15:E16"/>
    <mergeCell ref="F15:G16"/>
    <mergeCell ref="H15:I16"/>
    <mergeCell ref="J15:K16"/>
    <mergeCell ref="L15:M16"/>
    <mergeCell ref="P8:R9"/>
    <mergeCell ref="S8:Z9"/>
    <mergeCell ref="AA8:AC8"/>
    <mergeCell ref="A9:E14"/>
    <mergeCell ref="AA9:AC9"/>
    <mergeCell ref="F10:K10"/>
    <mergeCell ref="L10:O10"/>
    <mergeCell ref="P10:AC10"/>
    <mergeCell ref="F11:K11"/>
    <mergeCell ref="L11:O11"/>
    <mergeCell ref="F12:K14"/>
    <mergeCell ref="L12:O14"/>
    <mergeCell ref="Y11:Z12"/>
    <mergeCell ref="V11:X12"/>
    <mergeCell ref="AC11:AC12"/>
    <mergeCell ref="P11:P12"/>
    <mergeCell ref="R11:S12"/>
    <mergeCell ref="T11:U12"/>
    <mergeCell ref="Q11:Q12"/>
    <mergeCell ref="AA11:AB12"/>
    <mergeCell ref="A8:B8"/>
    <mergeCell ref="C8:E8"/>
    <mergeCell ref="F8:O9"/>
    <mergeCell ref="P13:P14"/>
    <mergeCell ref="A1:B3"/>
    <mergeCell ref="C3:AA3"/>
    <mergeCell ref="A4:O4"/>
    <mergeCell ref="P4:AC4"/>
    <mergeCell ref="A6:B6"/>
    <mergeCell ref="C6:E6"/>
    <mergeCell ref="F6:I6"/>
    <mergeCell ref="J6:P6"/>
    <mergeCell ref="Q6:S6"/>
    <mergeCell ref="T6:V6"/>
    <mergeCell ref="W6:Z6"/>
    <mergeCell ref="AA6:AC6"/>
    <mergeCell ref="C1:AA2"/>
    <mergeCell ref="Q13:Q14"/>
    <mergeCell ref="R13:S14"/>
    <mergeCell ref="T13:U14"/>
    <mergeCell ref="V13:X14"/>
    <mergeCell ref="Y13:Z14"/>
    <mergeCell ref="AA13:AB14"/>
    <mergeCell ref="AC13:AC14"/>
    <mergeCell ref="N15:O16"/>
    <mergeCell ref="P15:Q16"/>
    <mergeCell ref="R15:S15"/>
    <mergeCell ref="T15:U15"/>
    <mergeCell ref="V15:Y15"/>
    <mergeCell ref="Z15:AA16"/>
    <mergeCell ref="AB15:AC16"/>
    <mergeCell ref="V16:W16"/>
    <mergeCell ref="X16:Y16"/>
  </mergeCells>
  <printOptions horizontalCentered="1" verticalCentered="1"/>
  <pageMargins left="0.19685039370078741" right="0.19685039370078741" top="0.19685039370078741" bottom="0.19685039370078741" header="0" footer="0"/>
  <pageSetup paperSize="9" scale="5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B5D7-E2E2-46B1-B069-9384CB3A5B02}">
  <dimension ref="A1:AJ85"/>
  <sheetViews>
    <sheetView workbookViewId="0">
      <selection activeCell="L17" sqref="L17"/>
    </sheetView>
  </sheetViews>
  <sheetFormatPr defaultColWidth="12.140625" defaultRowHeight="15"/>
  <cols>
    <col min="1" max="1" width="19.5703125" style="75" customWidth="1"/>
    <col min="2" max="2" width="9.28515625" style="75" customWidth="1"/>
    <col min="3" max="3" width="5" style="75" customWidth="1"/>
    <col min="4" max="4" width="9.140625" style="75" customWidth="1"/>
    <col min="5" max="5" width="7.42578125" style="75" customWidth="1"/>
    <col min="6" max="6" width="5.5703125" style="75" customWidth="1"/>
    <col min="7" max="7" width="10.5703125" style="75" customWidth="1"/>
    <col min="8" max="8" width="5.5703125" style="75" customWidth="1"/>
    <col min="9" max="9" width="19.140625" style="75" customWidth="1"/>
    <col min="10" max="16384" width="12.140625" style="75"/>
  </cols>
  <sheetData>
    <row r="1" spans="1:15" ht="27" customHeight="1">
      <c r="A1" s="270" t="s">
        <v>217</v>
      </c>
      <c r="B1" s="270"/>
      <c r="C1" s="270"/>
      <c r="D1" s="270"/>
      <c r="E1" s="270"/>
      <c r="F1" s="270"/>
      <c r="G1" s="270"/>
      <c r="H1" s="270"/>
      <c r="I1" s="270"/>
    </row>
    <row r="2" spans="1:15" ht="16.5" customHeight="1">
      <c r="A2" s="271" t="s">
        <v>218</v>
      </c>
      <c r="B2" s="271"/>
      <c r="C2" s="271"/>
      <c r="D2" s="271"/>
      <c r="E2" s="271"/>
      <c r="F2" s="271"/>
      <c r="G2" s="271"/>
      <c r="H2" s="271"/>
      <c r="I2" s="271"/>
    </row>
    <row r="3" spans="1:15" ht="16.5" customHeight="1">
      <c r="A3" s="272" t="s">
        <v>219</v>
      </c>
      <c r="B3" s="272"/>
      <c r="C3" s="272"/>
      <c r="D3" s="272"/>
      <c r="E3" s="272"/>
      <c r="F3" s="272"/>
      <c r="G3" s="272"/>
      <c r="H3" s="272"/>
      <c r="I3" s="272"/>
    </row>
    <row r="4" spans="1:15" ht="16.5" customHeight="1">
      <c r="A4" s="272" t="s">
        <v>220</v>
      </c>
      <c r="B4" s="272"/>
      <c r="C4" s="272"/>
      <c r="D4" s="272"/>
      <c r="E4" s="272"/>
      <c r="F4" s="272"/>
      <c r="G4" s="272"/>
      <c r="H4" s="272"/>
      <c r="I4" s="272"/>
    </row>
    <row r="5" spans="1:15" ht="16.5" customHeight="1">
      <c r="A5" s="272" t="s">
        <v>221</v>
      </c>
      <c r="B5" s="272"/>
      <c r="C5" s="272"/>
      <c r="D5" s="272"/>
      <c r="E5" s="272"/>
      <c r="F5" s="272"/>
      <c r="G5" s="272"/>
      <c r="H5" s="272"/>
      <c r="I5" s="272"/>
    </row>
    <row r="6" spans="1:15" ht="7.5" customHeight="1">
      <c r="A6" s="76"/>
      <c r="B6" s="77"/>
      <c r="C6" s="77"/>
      <c r="D6" s="77"/>
      <c r="E6" s="77"/>
      <c r="F6" s="77"/>
      <c r="G6" s="77"/>
      <c r="H6" s="77"/>
      <c r="I6" s="78"/>
    </row>
    <row r="7" spans="1:15" ht="25.15" customHeight="1">
      <c r="A7" s="273" t="s">
        <v>222</v>
      </c>
      <c r="B7" s="273"/>
      <c r="C7" s="273"/>
      <c r="D7" s="273"/>
      <c r="E7" s="273"/>
      <c r="F7" s="273"/>
      <c r="G7" s="273"/>
      <c r="H7" s="273"/>
      <c r="I7" s="273"/>
    </row>
    <row r="8" spans="1:15" ht="21.75" customHeight="1">
      <c r="A8" s="279" t="s">
        <v>223</v>
      </c>
      <c r="B8" s="279"/>
      <c r="C8" s="279"/>
      <c r="D8" s="279"/>
      <c r="E8" s="279"/>
      <c r="F8" s="279"/>
      <c r="G8" s="279"/>
      <c r="H8" s="279"/>
      <c r="I8" s="279"/>
    </row>
    <row r="9" spans="1:15" ht="21.75" customHeight="1">
      <c r="A9" s="273" t="s">
        <v>224</v>
      </c>
      <c r="B9" s="273"/>
      <c r="C9" s="273"/>
      <c r="D9" s="273"/>
      <c r="E9" s="273"/>
      <c r="F9" s="273"/>
      <c r="G9" s="273"/>
      <c r="H9" s="273"/>
      <c r="I9" s="273"/>
    </row>
    <row r="10" spans="1:15" ht="6" customHeight="1">
      <c r="A10" s="280"/>
      <c r="B10" s="280"/>
      <c r="C10" s="280"/>
      <c r="D10" s="280"/>
      <c r="E10" s="280"/>
      <c r="F10" s="280"/>
      <c r="G10" s="280"/>
      <c r="H10" s="280"/>
      <c r="I10" s="280"/>
    </row>
    <row r="11" spans="1:15" s="79" customFormat="1" ht="21.75" customHeight="1">
      <c r="A11" s="274" t="s">
        <v>225</v>
      </c>
      <c r="B11" s="274"/>
      <c r="C11" s="274"/>
      <c r="D11" s="274"/>
      <c r="E11" s="274"/>
      <c r="F11" s="274"/>
      <c r="G11" s="274"/>
      <c r="H11" s="274"/>
      <c r="I11" s="274"/>
    </row>
    <row r="12" spans="1:15" s="79" customFormat="1" ht="21.75" customHeight="1" thickBot="1">
      <c r="A12" s="281" t="s">
        <v>226</v>
      </c>
      <c r="B12" s="281"/>
      <c r="C12" s="281"/>
      <c r="D12" s="282">
        <f>EXPEDIÇÃO!A17</f>
        <v>0</v>
      </c>
      <c r="E12" s="282"/>
      <c r="F12" s="282"/>
      <c r="G12" s="282"/>
      <c r="H12" s="282"/>
      <c r="I12" s="282"/>
    </row>
    <row r="13" spans="1:15" s="79" customFormat="1" ht="21.75" customHeight="1">
      <c r="A13" s="274" t="s">
        <v>227</v>
      </c>
      <c r="B13" s="274"/>
      <c r="C13" s="274"/>
      <c r="D13" s="274"/>
      <c r="E13" s="274"/>
      <c r="F13" s="274"/>
      <c r="G13" s="274"/>
      <c r="H13" s="274"/>
      <c r="I13" s="274"/>
    </row>
    <row r="14" spans="1:15" s="79" customFormat="1" ht="21.75" customHeight="1">
      <c r="A14" s="80" t="s">
        <v>228</v>
      </c>
      <c r="B14" s="81">
        <v>113</v>
      </c>
      <c r="C14" s="275" t="s">
        <v>229</v>
      </c>
      <c r="D14" s="275"/>
      <c r="E14" s="82">
        <v>0</v>
      </c>
      <c r="F14" s="276" t="s">
        <v>230</v>
      </c>
      <c r="G14" s="276"/>
      <c r="H14" s="276"/>
      <c r="I14" s="276"/>
      <c r="J14" s="277"/>
      <c r="K14" s="277"/>
      <c r="L14" s="277"/>
      <c r="M14" s="277"/>
      <c r="N14" s="277"/>
      <c r="O14" s="277"/>
    </row>
    <row r="15" spans="1:15" s="79" customFormat="1" ht="21.75" customHeight="1">
      <c r="A15" s="278" t="s">
        <v>231</v>
      </c>
      <c r="B15" s="278"/>
      <c r="C15" s="278"/>
      <c r="D15" s="278"/>
      <c r="E15" s="278"/>
      <c r="F15" s="278"/>
      <c r="G15" s="278"/>
      <c r="H15" s="278"/>
      <c r="I15" s="278"/>
    </row>
    <row r="16" spans="1:15" s="79" customFormat="1" ht="21.75" customHeight="1">
      <c r="A16" s="278" t="s">
        <v>232</v>
      </c>
      <c r="B16" s="278"/>
      <c r="C16" s="278"/>
      <c r="D16" s="278"/>
      <c r="E16" s="278"/>
      <c r="F16" s="278"/>
      <c r="G16" s="278"/>
      <c r="H16" s="278"/>
      <c r="I16" s="278"/>
    </row>
    <row r="17" spans="1:16" s="79" customFormat="1" ht="21.75" customHeight="1">
      <c r="A17" s="274" t="s">
        <v>233</v>
      </c>
      <c r="B17" s="274"/>
      <c r="C17" s="274"/>
      <c r="D17" s="274"/>
      <c r="E17" s="274"/>
      <c r="F17" s="274"/>
      <c r="G17" s="274"/>
      <c r="H17" s="274"/>
      <c r="I17" s="274"/>
      <c r="P17" s="83"/>
    </row>
    <row r="18" spans="1:16" s="79" customFormat="1" ht="21.75" customHeight="1">
      <c r="A18" s="274" t="s">
        <v>234</v>
      </c>
      <c r="B18" s="274"/>
      <c r="C18" s="274"/>
      <c r="D18" s="274"/>
      <c r="E18" s="274"/>
      <c r="F18" s="274"/>
      <c r="G18" s="274"/>
      <c r="H18" s="274"/>
      <c r="I18" s="274"/>
    </row>
    <row r="19" spans="1:16" s="79" customFormat="1" ht="20.25" customHeight="1" thickBot="1">
      <c r="A19" s="289" t="s">
        <v>235</v>
      </c>
      <c r="B19" s="289"/>
      <c r="C19" s="290">
        <f>EXPEDIÇÃO!D43</f>
        <v>0</v>
      </c>
      <c r="D19" s="288"/>
      <c r="E19" s="288"/>
      <c r="F19" s="288"/>
      <c r="G19" s="288"/>
      <c r="H19" s="288"/>
      <c r="I19" s="288"/>
    </row>
    <row r="20" spans="1:16" customFormat="1" ht="20.25" customHeight="1" thickBot="1">
      <c r="A20" s="289" t="s">
        <v>235</v>
      </c>
      <c r="B20" s="289"/>
      <c r="C20" s="291">
        <f>EXPEDIÇÃO!D44</f>
        <v>0</v>
      </c>
      <c r="D20" s="291"/>
      <c r="E20" s="291"/>
      <c r="F20" s="291"/>
      <c r="G20" s="291"/>
      <c r="H20" s="291"/>
      <c r="I20" s="291"/>
      <c r="J20" s="75"/>
      <c r="K20" s="75"/>
      <c r="L20" s="75"/>
      <c r="M20" s="75"/>
      <c r="N20" s="75"/>
      <c r="O20" s="75"/>
      <c r="P20" s="75"/>
    </row>
    <row r="21" spans="1:16" customFormat="1" ht="21" customHeight="1" thickBot="1">
      <c r="A21" s="80" t="s">
        <v>236</v>
      </c>
      <c r="B21" s="283">
        <f>EXPEDIÇÃO!T6</f>
        <v>0</v>
      </c>
      <c r="C21" s="283"/>
      <c r="D21" s="84" t="s">
        <v>237</v>
      </c>
      <c r="E21" s="284">
        <f>EXPEDIÇÃO!AA6</f>
        <v>0</v>
      </c>
      <c r="F21" s="284"/>
      <c r="G21" s="285" t="s">
        <v>113</v>
      </c>
      <c r="H21" s="285"/>
      <c r="I21" s="285"/>
      <c r="J21" s="75"/>
      <c r="K21" s="75"/>
      <c r="L21" s="75"/>
      <c r="M21" s="75"/>
      <c r="N21" s="75"/>
      <c r="O21" s="75"/>
      <c r="P21" s="75"/>
    </row>
    <row r="22" spans="1:16" customFormat="1" ht="21.75" customHeight="1" thickBot="1">
      <c r="A22" s="286" t="s">
        <v>238</v>
      </c>
      <c r="B22" s="286"/>
      <c r="C22" s="286"/>
      <c r="D22" s="317">
        <f>EXPEDIÇÃO!C6</f>
        <v>0</v>
      </c>
      <c r="E22" s="317"/>
      <c r="F22" s="317"/>
      <c r="G22" s="317"/>
      <c r="H22" s="317"/>
      <c r="I22" s="318"/>
      <c r="J22" s="75"/>
      <c r="K22" s="75"/>
      <c r="L22" s="75"/>
      <c r="M22" s="75"/>
      <c r="N22" s="75"/>
      <c r="O22" s="75"/>
      <c r="P22" s="75"/>
    </row>
    <row r="23" spans="1:16" customFormat="1" ht="21.75" customHeight="1" thickBot="1">
      <c r="A23" s="281" t="s">
        <v>240</v>
      </c>
      <c r="B23" s="281"/>
      <c r="C23" s="287" t="str">
        <f>'[1]05.08.2026'!J12</f>
        <v>zona rural</v>
      </c>
      <c r="D23" s="287"/>
      <c r="E23" s="287"/>
      <c r="F23" s="287"/>
      <c r="G23" s="287"/>
      <c r="H23" s="287"/>
      <c r="I23" s="288"/>
      <c r="J23" s="75"/>
      <c r="K23" s="75"/>
      <c r="L23" s="75"/>
      <c r="M23" s="75"/>
      <c r="N23" s="75"/>
      <c r="O23" s="75"/>
      <c r="P23" s="75"/>
    </row>
    <row r="24" spans="1:16" customFormat="1" ht="11.25" customHeight="1">
      <c r="A24" s="85"/>
      <c r="B24" s="75"/>
      <c r="C24" s="75"/>
      <c r="D24" s="75"/>
      <c r="E24" s="75"/>
      <c r="F24" s="75"/>
      <c r="G24" s="75"/>
      <c r="H24" s="75"/>
      <c r="I24" s="86"/>
      <c r="J24" s="75"/>
      <c r="K24" s="75"/>
      <c r="L24" s="75"/>
      <c r="M24" s="75"/>
      <c r="N24" s="75"/>
      <c r="O24" s="75"/>
      <c r="P24" s="75"/>
    </row>
    <row r="25" spans="1:16" customFormat="1" ht="23.25" customHeight="1">
      <c r="A25" s="273" t="s">
        <v>241</v>
      </c>
      <c r="B25" s="273"/>
      <c r="C25" s="273"/>
      <c r="D25" s="273"/>
      <c r="E25" s="273"/>
      <c r="F25" s="273"/>
      <c r="G25" s="273"/>
      <c r="H25" s="273"/>
      <c r="I25" s="273"/>
      <c r="J25" s="75"/>
      <c r="K25" s="75"/>
      <c r="L25" s="75"/>
      <c r="M25" s="75"/>
      <c r="N25" s="75"/>
      <c r="O25" s="75"/>
      <c r="P25" s="75"/>
    </row>
    <row r="26" spans="1:16" customFormat="1" ht="8.25" customHeight="1" thickBot="1">
      <c r="A26" s="85"/>
      <c r="B26" s="75"/>
      <c r="C26" s="75"/>
      <c r="D26" s="75"/>
      <c r="E26" s="75"/>
      <c r="F26" s="75"/>
      <c r="G26" s="75"/>
      <c r="H26" s="75"/>
      <c r="I26" s="86"/>
      <c r="J26" s="75"/>
      <c r="K26" s="75"/>
      <c r="L26" s="75"/>
      <c r="M26" s="75"/>
      <c r="N26" s="75"/>
      <c r="O26" s="75"/>
      <c r="P26" s="75"/>
    </row>
    <row r="27" spans="1:16" customFormat="1" ht="20.25" customHeight="1" thickBot="1">
      <c r="A27" s="87" t="s">
        <v>242</v>
      </c>
      <c r="B27" s="88"/>
      <c r="C27" s="89"/>
      <c r="D27" s="296" t="s">
        <v>243</v>
      </c>
      <c r="E27" s="296"/>
      <c r="F27" s="296"/>
      <c r="G27" s="90"/>
      <c r="H27" s="75"/>
      <c r="I27" s="86"/>
      <c r="J27" s="75"/>
      <c r="K27" s="75"/>
      <c r="L27" s="75"/>
      <c r="M27" s="75"/>
      <c r="N27" s="75"/>
      <c r="O27" s="75"/>
      <c r="P27" s="75"/>
    </row>
    <row r="28" spans="1:16" s="89" customFormat="1" ht="20.25" customHeight="1">
      <c r="A28" s="292" t="s">
        <v>244</v>
      </c>
      <c r="B28" s="292"/>
      <c r="C28" s="297"/>
      <c r="D28" s="297"/>
      <c r="E28" s="297"/>
      <c r="F28" s="297"/>
      <c r="G28" s="297"/>
      <c r="H28" s="297"/>
      <c r="I28" s="91"/>
    </row>
    <row r="29" spans="1:16" s="89" customFormat="1" ht="20.25" customHeight="1">
      <c r="A29" s="292" t="s">
        <v>245</v>
      </c>
      <c r="B29" s="292"/>
      <c r="C29" s="294"/>
      <c r="D29" s="294"/>
      <c r="E29" s="294"/>
      <c r="F29" s="294"/>
      <c r="G29" s="294"/>
      <c r="H29" s="294"/>
      <c r="I29" s="91"/>
    </row>
    <row r="30" spans="1:16" s="89" customFormat="1" ht="20.25" customHeight="1">
      <c r="A30" s="292" t="s">
        <v>246</v>
      </c>
      <c r="B30" s="292"/>
      <c r="C30" s="293" t="s">
        <v>113</v>
      </c>
      <c r="D30" s="293"/>
      <c r="E30" s="293"/>
      <c r="F30" s="293"/>
      <c r="G30" s="293"/>
      <c r="H30" s="293"/>
      <c r="I30" s="91"/>
    </row>
    <row r="31" spans="1:16" s="89" customFormat="1" ht="20.25" customHeight="1">
      <c r="A31" s="292" t="s">
        <v>247</v>
      </c>
      <c r="B31" s="292"/>
      <c r="C31" s="294"/>
      <c r="D31" s="294"/>
      <c r="E31" s="294"/>
      <c r="F31" s="294"/>
      <c r="G31" s="294"/>
      <c r="H31" s="294"/>
      <c r="I31" s="91"/>
    </row>
    <row r="32" spans="1:16" s="89" customFormat="1" ht="20.25" customHeight="1">
      <c r="A32" s="292" t="s">
        <v>248</v>
      </c>
      <c r="B32" s="292"/>
      <c r="C32" s="295"/>
      <c r="D32" s="295"/>
      <c r="E32" s="295"/>
      <c r="F32" s="295"/>
      <c r="G32" s="295"/>
      <c r="H32" s="295"/>
      <c r="I32" s="295"/>
    </row>
    <row r="33" spans="1:9" customFormat="1" ht="20.25" customHeight="1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customFormat="1" ht="20.25" customHeight="1">
      <c r="A34" s="299"/>
      <c r="B34" s="299"/>
      <c r="C34" s="299"/>
      <c r="D34" s="299"/>
      <c r="E34" s="299"/>
      <c r="F34" s="299"/>
      <c r="G34" s="299"/>
      <c r="H34" s="299"/>
      <c r="I34" s="299"/>
    </row>
    <row r="35" spans="1:9" customFormat="1" ht="20.25" customHeight="1" thickBot="1">
      <c r="A35" s="300"/>
      <c r="B35" s="300"/>
      <c r="C35" s="300"/>
      <c r="D35" s="300"/>
      <c r="E35" s="300"/>
      <c r="F35" s="300"/>
      <c r="G35" s="300"/>
      <c r="H35" s="300"/>
      <c r="I35" s="300"/>
    </row>
    <row r="36" spans="1:9" ht="20.25" customHeight="1" thickBot="1">
      <c r="A36" s="301" t="s">
        <v>249</v>
      </c>
      <c r="B36" s="301"/>
      <c r="C36" s="301"/>
      <c r="D36" s="301"/>
      <c r="E36" s="301"/>
      <c r="F36" s="301"/>
      <c r="G36" s="301"/>
      <c r="H36" s="301"/>
      <c r="I36" s="301"/>
    </row>
    <row r="37" spans="1:9" ht="21.75" customHeight="1" thickBot="1">
      <c r="A37" s="92" t="s">
        <v>250</v>
      </c>
      <c r="B37" s="302">
        <f>C19</f>
        <v>0</v>
      </c>
      <c r="C37" s="302"/>
      <c r="D37" s="302"/>
      <c r="E37" s="302"/>
      <c r="F37" s="302"/>
      <c r="G37" s="303" t="s">
        <v>251</v>
      </c>
      <c r="H37" s="304" t="str">
        <f>A8</f>
        <v>CIALNE I</v>
      </c>
      <c r="I37" s="304"/>
    </row>
    <row r="38" spans="1:9" ht="21.75" customHeight="1" thickBot="1">
      <c r="A38" s="92" t="s">
        <v>250</v>
      </c>
      <c r="B38" s="302">
        <f>C20</f>
        <v>0</v>
      </c>
      <c r="C38" s="302"/>
      <c r="D38" s="302"/>
      <c r="E38" s="302"/>
      <c r="F38" s="302"/>
      <c r="G38" s="303"/>
      <c r="H38" s="304"/>
      <c r="I38" s="304"/>
    </row>
    <row r="39" spans="1:9" ht="21.75" customHeight="1" thickBot="1">
      <c r="A39" s="93" t="s">
        <v>236</v>
      </c>
      <c r="B39" s="94">
        <f>B21</f>
        <v>0</v>
      </c>
      <c r="C39" s="95"/>
      <c r="D39" s="95" t="s">
        <v>237</v>
      </c>
      <c r="E39" s="302">
        <f>E21</f>
        <v>0</v>
      </c>
      <c r="F39" s="302"/>
      <c r="G39" s="303"/>
      <c r="H39" s="304"/>
      <c r="I39" s="304"/>
    </row>
    <row r="40" spans="1:9" ht="21.75" customHeight="1" thickBot="1">
      <c r="A40" s="93" t="s">
        <v>252</v>
      </c>
      <c r="B40" s="94">
        <f>B14</f>
        <v>113</v>
      </c>
      <c r="C40" s="96"/>
      <c r="D40" s="97" t="s">
        <v>253</v>
      </c>
      <c r="E40" s="305">
        <f>D12</f>
        <v>0</v>
      </c>
      <c r="F40" s="305"/>
      <c r="G40" s="305"/>
      <c r="H40" s="305"/>
      <c r="I40" s="305"/>
    </row>
    <row r="41" spans="1:9" ht="21.75" customHeight="1" thickBot="1">
      <c r="A41" s="306" t="s">
        <v>254</v>
      </c>
      <c r="B41" s="306"/>
      <c r="C41" s="307">
        <f ca="1">NOW()</f>
        <v>46240.654184490741</v>
      </c>
      <c r="D41" s="307"/>
      <c r="E41" s="307"/>
      <c r="F41" s="308" t="s">
        <v>255</v>
      </c>
      <c r="G41" s="308"/>
      <c r="H41" s="309"/>
      <c r="I41" s="309"/>
    </row>
    <row r="42" spans="1:9" customFormat="1" ht="21.75" customHeight="1" thickBot="1">
      <c r="A42" s="100" t="s">
        <v>256</v>
      </c>
      <c r="B42" s="310"/>
      <c r="C42" s="310"/>
      <c r="D42" s="310"/>
      <c r="E42" s="311" t="s">
        <v>257</v>
      </c>
      <c r="F42" s="311"/>
      <c r="G42" s="311"/>
      <c r="H42" s="309"/>
      <c r="I42" s="309"/>
    </row>
    <row r="43" spans="1:9" customFormat="1" ht="16.5" customHeight="1">
      <c r="A43" s="75"/>
      <c r="B43" s="75"/>
      <c r="C43" s="75"/>
      <c r="D43" s="75"/>
      <c r="E43" s="75"/>
      <c r="F43" s="75"/>
      <c r="G43" s="75"/>
      <c r="H43" s="75"/>
      <c r="I43" s="75"/>
    </row>
    <row r="44" spans="1:9" customFormat="1" ht="15" customHeight="1">
      <c r="A44" s="75"/>
      <c r="B44" s="75"/>
      <c r="C44" s="75"/>
      <c r="D44" s="75"/>
      <c r="E44" s="75"/>
      <c r="F44" s="75"/>
      <c r="G44" s="75"/>
      <c r="H44" s="75"/>
      <c r="I44" s="75"/>
    </row>
    <row r="45" spans="1:9" customFormat="1" ht="26.25" customHeight="1">
      <c r="A45" s="75"/>
      <c r="B45" s="75"/>
      <c r="C45" s="75"/>
      <c r="D45" s="75"/>
      <c r="E45" s="75"/>
      <c r="F45" s="75"/>
      <c r="G45" s="75"/>
      <c r="H45" s="75"/>
      <c r="I45" s="75"/>
    </row>
    <row r="46" spans="1:9" customFormat="1" ht="9.75" customHeight="1" thickBot="1">
      <c r="A46" s="277"/>
      <c r="B46" s="277"/>
      <c r="C46" s="277"/>
      <c r="D46" s="277"/>
      <c r="E46" s="277"/>
      <c r="F46" s="277"/>
      <c r="G46" s="277"/>
      <c r="H46" s="277"/>
      <c r="I46" s="277"/>
    </row>
    <row r="47" spans="1:9" customFormat="1" ht="32.25" customHeight="1">
      <c r="A47" s="270" t="s">
        <v>217</v>
      </c>
      <c r="B47" s="270"/>
      <c r="C47" s="270"/>
      <c r="D47" s="270"/>
      <c r="E47" s="270"/>
      <c r="F47" s="270"/>
      <c r="G47" s="270"/>
      <c r="H47" s="270"/>
      <c r="I47" s="270"/>
    </row>
    <row r="48" spans="1:9" customFormat="1" ht="16.5" customHeight="1">
      <c r="A48" s="271" t="s">
        <v>218</v>
      </c>
      <c r="B48" s="271"/>
      <c r="C48" s="271"/>
      <c r="D48" s="271"/>
      <c r="E48" s="271"/>
      <c r="F48" s="271"/>
      <c r="G48" s="271"/>
      <c r="H48" s="271"/>
      <c r="I48" s="271"/>
    </row>
    <row r="49" spans="1:36" customFormat="1" ht="16.5" customHeight="1">
      <c r="A49" s="272" t="s">
        <v>219</v>
      </c>
      <c r="B49" s="272"/>
      <c r="C49" s="272"/>
      <c r="D49" s="272"/>
      <c r="E49" s="272"/>
      <c r="F49" s="272"/>
      <c r="G49" s="272"/>
      <c r="H49" s="272"/>
      <c r="I49" s="272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</row>
    <row r="50" spans="1:36" customFormat="1" ht="16.5" customHeight="1">
      <c r="A50" s="272" t="s">
        <v>220</v>
      </c>
      <c r="B50" s="272"/>
      <c r="C50" s="272"/>
      <c r="D50" s="272"/>
      <c r="E50" s="272"/>
      <c r="F50" s="272"/>
      <c r="G50" s="272"/>
      <c r="H50" s="272"/>
      <c r="I50" s="272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</row>
    <row r="51" spans="1:36" customFormat="1" ht="16.5" customHeight="1">
      <c r="A51" s="272" t="s">
        <v>221</v>
      </c>
      <c r="B51" s="272"/>
      <c r="C51" s="272"/>
      <c r="D51" s="272"/>
      <c r="E51" s="272"/>
      <c r="F51" s="272"/>
      <c r="G51" s="272"/>
      <c r="H51" s="272"/>
      <c r="I51" s="272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</row>
    <row r="52" spans="1:36" customFormat="1" ht="11.25" customHeight="1">
      <c r="A52" s="76"/>
      <c r="B52" s="77"/>
      <c r="C52" s="77"/>
      <c r="D52" s="77"/>
      <c r="E52" s="77"/>
      <c r="F52" s="77"/>
      <c r="G52" s="77"/>
      <c r="H52" s="77"/>
      <c r="I52" s="78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</row>
    <row r="53" spans="1:36" customFormat="1" ht="24.75" customHeight="1">
      <c r="A53" s="273" t="s">
        <v>222</v>
      </c>
      <c r="B53" s="273"/>
      <c r="C53" s="273"/>
      <c r="D53" s="273"/>
      <c r="E53" s="273"/>
      <c r="F53" s="273"/>
      <c r="G53" s="273"/>
      <c r="H53" s="273"/>
      <c r="I53" s="273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</row>
    <row r="54" spans="1:36" customFormat="1" ht="21.75" customHeight="1">
      <c r="A54" s="279" t="s">
        <v>258</v>
      </c>
      <c r="B54" s="279"/>
      <c r="C54" s="279"/>
      <c r="D54" s="279"/>
      <c r="E54" s="279"/>
      <c r="F54" s="279"/>
      <c r="G54" s="279"/>
      <c r="H54" s="279"/>
      <c r="I54" s="279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</row>
    <row r="55" spans="1:36" customFormat="1" ht="24" customHeight="1">
      <c r="A55" s="273" t="s">
        <v>224</v>
      </c>
      <c r="B55" s="273"/>
      <c r="C55" s="273"/>
      <c r="D55" s="273"/>
      <c r="E55" s="273"/>
      <c r="F55" s="273"/>
      <c r="G55" s="273"/>
      <c r="H55" s="273"/>
      <c r="I55" s="273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</row>
    <row r="56" spans="1:36" customFormat="1" ht="6.75" customHeight="1">
      <c r="A56" s="280"/>
      <c r="B56" s="280"/>
      <c r="C56" s="280"/>
      <c r="D56" s="280"/>
      <c r="E56" s="280"/>
      <c r="F56" s="280"/>
      <c r="G56" s="280"/>
      <c r="H56" s="280"/>
      <c r="I56" s="280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</row>
    <row r="57" spans="1:36" customFormat="1" ht="21.75" customHeight="1">
      <c r="A57" s="274" t="s">
        <v>225</v>
      </c>
      <c r="B57" s="274"/>
      <c r="C57" s="274"/>
      <c r="D57" s="274"/>
      <c r="E57" s="274"/>
      <c r="F57" s="274"/>
      <c r="G57" s="274"/>
      <c r="H57" s="274"/>
      <c r="I57" s="274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</row>
    <row r="58" spans="1:36" ht="21.75" customHeight="1" thickBot="1">
      <c r="A58" s="281" t="s">
        <v>226</v>
      </c>
      <c r="B58" s="281"/>
      <c r="C58" s="281"/>
      <c r="D58" s="312">
        <f>D12</f>
        <v>0</v>
      </c>
      <c r="E58" s="312"/>
      <c r="F58" s="312"/>
      <c r="G58" s="312"/>
      <c r="H58" s="312"/>
      <c r="I58" s="312"/>
    </row>
    <row r="59" spans="1:36" customFormat="1" ht="21.75" customHeight="1">
      <c r="A59" s="274" t="s">
        <v>259</v>
      </c>
      <c r="B59" s="274"/>
      <c r="C59" s="274"/>
      <c r="D59" s="274"/>
      <c r="E59" s="274"/>
      <c r="F59" s="274"/>
      <c r="G59" s="274"/>
      <c r="H59" s="274"/>
      <c r="I59" s="274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</row>
    <row r="60" spans="1:36" ht="21.75" customHeight="1" thickBot="1">
      <c r="A60" s="80" t="s">
        <v>228</v>
      </c>
      <c r="B60" s="101">
        <f>B14</f>
        <v>113</v>
      </c>
      <c r="C60" s="275" t="s">
        <v>229</v>
      </c>
      <c r="D60" s="275"/>
      <c r="E60" s="102">
        <f>E14</f>
        <v>0</v>
      </c>
      <c r="F60" s="276" t="s">
        <v>230</v>
      </c>
      <c r="G60" s="276"/>
      <c r="H60" s="276"/>
      <c r="I60" s="276"/>
    </row>
    <row r="61" spans="1:36" customFormat="1" ht="21.75" customHeight="1">
      <c r="A61" s="278" t="s">
        <v>231</v>
      </c>
      <c r="B61" s="278"/>
      <c r="C61" s="278"/>
      <c r="D61" s="278"/>
      <c r="E61" s="278"/>
      <c r="F61" s="278"/>
      <c r="G61" s="278"/>
      <c r="H61" s="278"/>
      <c r="I61" s="278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</row>
    <row r="62" spans="1:36" customFormat="1" ht="21.75" customHeight="1">
      <c r="A62" s="278" t="s">
        <v>232</v>
      </c>
      <c r="B62" s="278"/>
      <c r="C62" s="278"/>
      <c r="D62" s="278"/>
      <c r="E62" s="278"/>
      <c r="F62" s="278"/>
      <c r="G62" s="278"/>
      <c r="H62" s="278"/>
      <c r="I62" s="278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</row>
    <row r="63" spans="1:36" customFormat="1" ht="21.75" customHeight="1">
      <c r="A63" s="274" t="s">
        <v>233</v>
      </c>
      <c r="B63" s="274"/>
      <c r="C63" s="274"/>
      <c r="D63" s="274"/>
      <c r="E63" s="274"/>
      <c r="F63" s="274"/>
      <c r="G63" s="274"/>
      <c r="H63" s="274"/>
      <c r="I63" s="274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</row>
    <row r="64" spans="1:36" customFormat="1" ht="21.75" customHeight="1">
      <c r="A64" s="274" t="s">
        <v>234</v>
      </c>
      <c r="B64" s="274"/>
      <c r="C64" s="274"/>
      <c r="D64" s="274"/>
      <c r="E64" s="274"/>
      <c r="F64" s="274"/>
      <c r="G64" s="274"/>
      <c r="H64" s="274"/>
      <c r="I64" s="274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</row>
    <row r="65" spans="1:36" customFormat="1" ht="21.75" customHeight="1" thickBot="1">
      <c r="A65" s="281" t="s">
        <v>235</v>
      </c>
      <c r="B65" s="281"/>
      <c r="C65" s="314">
        <f>C19</f>
        <v>0</v>
      </c>
      <c r="D65" s="314"/>
      <c r="E65" s="314"/>
      <c r="F65" s="314"/>
      <c r="G65" s="314"/>
      <c r="H65" s="314"/>
      <c r="I65" s="314"/>
      <c r="J65" s="8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</row>
    <row r="66" spans="1:36" customFormat="1" ht="21.75" customHeight="1" thickBot="1">
      <c r="A66" s="281" t="s">
        <v>235</v>
      </c>
      <c r="B66" s="281"/>
      <c r="C66" s="315">
        <f>C20</f>
        <v>0</v>
      </c>
      <c r="D66" s="315"/>
      <c r="E66" s="315"/>
      <c r="F66" s="315"/>
      <c r="G66" s="315"/>
      <c r="H66" s="315"/>
      <c r="I66" s="31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</row>
    <row r="67" spans="1:36" customFormat="1" ht="21.75" customHeight="1" thickBot="1">
      <c r="A67" s="80" t="s">
        <v>236</v>
      </c>
      <c r="B67" s="311">
        <f>B21</f>
        <v>0</v>
      </c>
      <c r="C67" s="311"/>
      <c r="D67" s="84" t="s">
        <v>237</v>
      </c>
      <c r="E67" s="302">
        <f>E21</f>
        <v>0</v>
      </c>
      <c r="F67" s="302"/>
      <c r="G67" s="302"/>
      <c r="H67" s="103"/>
      <c r="I67" s="104" t="s">
        <v>113</v>
      </c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</row>
    <row r="68" spans="1:36" customFormat="1" ht="21.75" customHeight="1" thickBot="1">
      <c r="A68" s="286" t="s">
        <v>238</v>
      </c>
      <c r="B68" s="286"/>
      <c r="C68" s="286"/>
      <c r="D68" s="307">
        <f>D22</f>
        <v>0</v>
      </c>
      <c r="E68" s="307"/>
      <c r="F68" s="105" t="s">
        <v>239</v>
      </c>
      <c r="G68" s="99">
        <f>G22</f>
        <v>0</v>
      </c>
      <c r="H68" s="84" t="s">
        <v>239</v>
      </c>
      <c r="I68" s="98">
        <v>2026</v>
      </c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</row>
    <row r="69" spans="1:36" ht="21.75" customHeight="1" thickBot="1">
      <c r="A69" s="281" t="s">
        <v>240</v>
      </c>
      <c r="B69" s="281"/>
      <c r="C69" s="313" t="str">
        <f>C23</f>
        <v>zona rural</v>
      </c>
      <c r="D69" s="313"/>
      <c r="E69" s="313"/>
      <c r="F69" s="313"/>
      <c r="G69" s="313"/>
      <c r="H69" s="313"/>
      <c r="I69" s="313"/>
    </row>
    <row r="70" spans="1:36" ht="11.25" customHeight="1">
      <c r="A70" s="85"/>
      <c r="I70" s="86"/>
    </row>
    <row r="71" spans="1:36" ht="29.25" customHeight="1">
      <c r="A71" s="273" t="s">
        <v>241</v>
      </c>
      <c r="B71" s="273"/>
      <c r="C71" s="273"/>
      <c r="D71" s="273"/>
      <c r="E71" s="273"/>
      <c r="F71" s="273"/>
      <c r="G71" s="273"/>
      <c r="H71" s="273"/>
      <c r="I71" s="273"/>
    </row>
    <row r="72" spans="1:36" ht="8.25" customHeight="1" thickBot="1">
      <c r="A72" s="85"/>
      <c r="G72" s="106"/>
      <c r="I72" s="86"/>
    </row>
    <row r="73" spans="1:36" ht="19.5" customHeight="1" thickBot="1">
      <c r="A73" s="107" t="s">
        <v>242</v>
      </c>
      <c r="B73" s="88"/>
      <c r="C73" s="108"/>
      <c r="D73" s="296" t="s">
        <v>243</v>
      </c>
      <c r="E73" s="296"/>
      <c r="F73" s="296"/>
      <c r="G73" s="109"/>
      <c r="I73" s="86"/>
    </row>
    <row r="74" spans="1:36" customFormat="1" ht="19.5" customHeight="1">
      <c r="A74" s="292" t="s">
        <v>244</v>
      </c>
      <c r="B74" s="292"/>
      <c r="C74" s="297"/>
      <c r="D74" s="297"/>
      <c r="E74" s="297"/>
      <c r="F74" s="297"/>
      <c r="G74" s="297"/>
      <c r="H74" s="297"/>
      <c r="I74" s="91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</row>
    <row r="75" spans="1:36" customFormat="1" ht="19.5" customHeight="1">
      <c r="A75" s="292" t="s">
        <v>245</v>
      </c>
      <c r="B75" s="292"/>
      <c r="C75" s="294"/>
      <c r="D75" s="294"/>
      <c r="E75" s="294"/>
      <c r="F75" s="294"/>
      <c r="G75" s="294"/>
      <c r="H75" s="294"/>
      <c r="I75" s="91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</row>
    <row r="76" spans="1:36" customFormat="1" ht="19.5" customHeight="1">
      <c r="A76" s="292" t="s">
        <v>246</v>
      </c>
      <c r="B76" s="292"/>
      <c r="C76" s="293" t="s">
        <v>113</v>
      </c>
      <c r="D76" s="293"/>
      <c r="E76" s="293"/>
      <c r="F76" s="293"/>
      <c r="G76" s="293"/>
      <c r="H76" s="293"/>
      <c r="I76" s="91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</row>
    <row r="77" spans="1:36" customFormat="1" ht="19.5" customHeight="1">
      <c r="A77" s="292" t="s">
        <v>247</v>
      </c>
      <c r="B77" s="292"/>
      <c r="C77" s="294"/>
      <c r="D77" s="294"/>
      <c r="E77" s="294"/>
      <c r="F77" s="294"/>
      <c r="G77" s="294"/>
      <c r="H77" s="294"/>
      <c r="I77" s="91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</row>
    <row r="78" spans="1:36" customFormat="1" ht="19.5" customHeight="1">
      <c r="A78" s="292" t="s">
        <v>248</v>
      </c>
      <c r="B78" s="292"/>
      <c r="C78" s="295"/>
      <c r="D78" s="295"/>
      <c r="E78" s="295"/>
      <c r="F78" s="295"/>
      <c r="G78" s="295"/>
      <c r="H78" s="295"/>
      <c r="I78" s="29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</row>
    <row r="79" spans="1:36" ht="19.5" customHeight="1">
      <c r="A79" s="298"/>
      <c r="B79" s="298"/>
      <c r="C79" s="298"/>
      <c r="D79" s="298"/>
      <c r="E79" s="298"/>
      <c r="F79" s="298"/>
      <c r="G79" s="298"/>
      <c r="H79" s="298"/>
      <c r="I79" s="298"/>
    </row>
    <row r="80" spans="1:36" ht="19.5" customHeight="1">
      <c r="A80" s="299"/>
      <c r="B80" s="299"/>
      <c r="C80" s="299"/>
      <c r="D80" s="299"/>
      <c r="E80" s="299"/>
      <c r="F80" s="299"/>
      <c r="G80" s="299"/>
      <c r="H80" s="299"/>
      <c r="I80" s="299"/>
    </row>
    <row r="81" spans="1:9" ht="19.5" customHeight="1">
      <c r="A81" s="299"/>
      <c r="B81" s="299"/>
      <c r="C81" s="299"/>
      <c r="D81" s="299"/>
      <c r="E81" s="299"/>
      <c r="F81" s="299"/>
      <c r="G81" s="299"/>
      <c r="H81" s="299"/>
      <c r="I81" s="299"/>
    </row>
    <row r="82" spans="1:9" ht="19.5" customHeight="1">
      <c r="A82" s="299"/>
      <c r="B82" s="299"/>
      <c r="C82" s="299"/>
      <c r="D82" s="299"/>
      <c r="E82" s="299"/>
      <c r="F82" s="299"/>
      <c r="G82" s="299"/>
      <c r="H82" s="299"/>
      <c r="I82" s="299"/>
    </row>
    <row r="83" spans="1:9" ht="19.5" customHeight="1">
      <c r="A83" s="299"/>
      <c r="B83" s="299"/>
      <c r="C83" s="299"/>
      <c r="D83" s="299"/>
      <c r="E83" s="299"/>
      <c r="F83" s="299"/>
      <c r="G83" s="299"/>
      <c r="H83" s="299"/>
      <c r="I83" s="299"/>
    </row>
    <row r="84" spans="1:9" ht="19.5" customHeight="1">
      <c r="A84" s="299"/>
      <c r="B84" s="299"/>
      <c r="C84" s="299"/>
      <c r="D84" s="299"/>
      <c r="E84" s="299"/>
      <c r="F84" s="299"/>
      <c r="G84" s="299"/>
      <c r="H84" s="299"/>
      <c r="I84" s="299"/>
    </row>
    <row r="85" spans="1:9" ht="19.5" customHeight="1" thickBot="1">
      <c r="A85" s="316"/>
      <c r="B85" s="316"/>
      <c r="C85" s="316"/>
      <c r="D85" s="316"/>
      <c r="E85" s="316"/>
      <c r="F85" s="316"/>
      <c r="G85" s="316"/>
      <c r="H85" s="316"/>
      <c r="I85" s="316"/>
    </row>
  </sheetData>
  <mergeCells count="110">
    <mergeCell ref="A85:I85"/>
    <mergeCell ref="D22:I22"/>
    <mergeCell ref="A79:I79"/>
    <mergeCell ref="A80:I80"/>
    <mergeCell ref="A81:I81"/>
    <mergeCell ref="A82:I82"/>
    <mergeCell ref="A83:I83"/>
    <mergeCell ref="A84:I84"/>
    <mergeCell ref="A76:B76"/>
    <mergeCell ref="C76:H76"/>
    <mergeCell ref="A77:B77"/>
    <mergeCell ref="C77:H77"/>
    <mergeCell ref="A78:B78"/>
    <mergeCell ref="C78:I78"/>
    <mergeCell ref="A71:I71"/>
    <mergeCell ref="D73:F73"/>
    <mergeCell ref="A74:B74"/>
    <mergeCell ref="C74:H74"/>
    <mergeCell ref="A75:B75"/>
    <mergeCell ref="C75:H75"/>
    <mergeCell ref="B67:C67"/>
    <mergeCell ref="E67:G67"/>
    <mergeCell ref="A68:C68"/>
    <mergeCell ref="D68:E68"/>
    <mergeCell ref="A69:B69"/>
    <mergeCell ref="C69:I69"/>
    <mergeCell ref="A62:I62"/>
    <mergeCell ref="A63:I63"/>
    <mergeCell ref="A64:I64"/>
    <mergeCell ref="A65:B65"/>
    <mergeCell ref="C65:I65"/>
    <mergeCell ref="A66:B66"/>
    <mergeCell ref="C66:I66"/>
    <mergeCell ref="A58:C58"/>
    <mergeCell ref="D58:I58"/>
    <mergeCell ref="A59:I59"/>
    <mergeCell ref="C60:D60"/>
    <mergeCell ref="F60:I60"/>
    <mergeCell ref="A61:I61"/>
    <mergeCell ref="A51:I51"/>
    <mergeCell ref="A53:I53"/>
    <mergeCell ref="A54:I54"/>
    <mergeCell ref="A55:I55"/>
    <mergeCell ref="A56:I56"/>
    <mergeCell ref="A57:I57"/>
    <mergeCell ref="A46:C46"/>
    <mergeCell ref="D46:I46"/>
    <mergeCell ref="A47:I47"/>
    <mergeCell ref="A48:I48"/>
    <mergeCell ref="A49:I49"/>
    <mergeCell ref="A50:I50"/>
    <mergeCell ref="E40:I40"/>
    <mergeCell ref="A41:B41"/>
    <mergeCell ref="C41:E41"/>
    <mergeCell ref="F41:G41"/>
    <mergeCell ref="H41:I41"/>
    <mergeCell ref="B42:D42"/>
    <mergeCell ref="E42:G42"/>
    <mergeCell ref="H42:I42"/>
    <mergeCell ref="A33:I33"/>
    <mergeCell ref="A34:I34"/>
    <mergeCell ref="A35:I35"/>
    <mergeCell ref="A36:I36"/>
    <mergeCell ref="B37:F37"/>
    <mergeCell ref="G37:G39"/>
    <mergeCell ref="H37:I39"/>
    <mergeCell ref="B38:F38"/>
    <mergeCell ref="E39:F39"/>
    <mergeCell ref="A30:B30"/>
    <mergeCell ref="C30:H30"/>
    <mergeCell ref="A31:B31"/>
    <mergeCell ref="C31:H31"/>
    <mergeCell ref="A32:B32"/>
    <mergeCell ref="C32:I32"/>
    <mergeCell ref="A25:I25"/>
    <mergeCell ref="D27:F27"/>
    <mergeCell ref="A28:B28"/>
    <mergeCell ref="C28:H28"/>
    <mergeCell ref="A29:B29"/>
    <mergeCell ref="C29:H29"/>
    <mergeCell ref="B21:C21"/>
    <mergeCell ref="E21:F21"/>
    <mergeCell ref="G21:I21"/>
    <mergeCell ref="A22:C22"/>
    <mergeCell ref="A23:B23"/>
    <mergeCell ref="C23:I23"/>
    <mergeCell ref="A17:I17"/>
    <mergeCell ref="A18:I18"/>
    <mergeCell ref="A19:B19"/>
    <mergeCell ref="C19:I19"/>
    <mergeCell ref="A20:B20"/>
    <mergeCell ref="C20:I20"/>
    <mergeCell ref="J14:O14"/>
    <mergeCell ref="A15:I15"/>
    <mergeCell ref="A16:I16"/>
    <mergeCell ref="A8:I8"/>
    <mergeCell ref="A9:I9"/>
    <mergeCell ref="A10:I10"/>
    <mergeCell ref="A11:I11"/>
    <mergeCell ref="A12:C12"/>
    <mergeCell ref="D12:I12"/>
    <mergeCell ref="A1:I1"/>
    <mergeCell ref="A2:I2"/>
    <mergeCell ref="A3:I3"/>
    <mergeCell ref="A4:I4"/>
    <mergeCell ref="A5:I5"/>
    <mergeCell ref="A7:I7"/>
    <mergeCell ref="A13:I13"/>
    <mergeCell ref="C14:D14"/>
    <mergeCell ref="F14:I14"/>
  </mergeCells>
  <printOptions horizontalCentered="1" verticalCentered="1"/>
  <pageMargins left="0.11811023622047245" right="0.11811023622047245" top="0.19685039370078741" bottom="0.1968503937007874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F5D5-8122-4380-ABF8-AAF00CA770C9}">
  <dimension ref="A3:B43"/>
  <sheetViews>
    <sheetView topLeftCell="A23" workbookViewId="0">
      <selection activeCell="B43" sqref="B43"/>
    </sheetView>
  </sheetViews>
  <sheetFormatPr defaultRowHeight="15.75"/>
  <cols>
    <col min="1" max="1" width="8.85546875" style="35" customWidth="1"/>
    <col min="2" max="2" width="44" style="35" customWidth="1"/>
    <col min="3" max="16384" width="9.140625" style="35"/>
  </cols>
  <sheetData>
    <row r="3" spans="1:2">
      <c r="A3" s="34" t="s">
        <v>129</v>
      </c>
      <c r="B3" s="34" t="s">
        <v>130</v>
      </c>
    </row>
    <row r="4" spans="1:2" ht="21.75" customHeight="1">
      <c r="A4" s="70">
        <v>14646</v>
      </c>
      <c r="B4" s="70" t="s">
        <v>131</v>
      </c>
    </row>
    <row r="5" spans="1:2" ht="21.75" customHeight="1">
      <c r="A5" s="70">
        <v>19702</v>
      </c>
      <c r="B5" s="70" t="s">
        <v>132</v>
      </c>
    </row>
    <row r="6" spans="1:2" ht="21.75" customHeight="1">
      <c r="A6" s="70">
        <v>17114</v>
      </c>
      <c r="B6" s="70" t="s">
        <v>133</v>
      </c>
    </row>
    <row r="7" spans="1:2" ht="21.75" customHeight="1">
      <c r="A7" s="70">
        <v>16964</v>
      </c>
      <c r="B7" s="70" t="s">
        <v>134</v>
      </c>
    </row>
    <row r="8" spans="1:2" ht="21.75" customHeight="1">
      <c r="A8" s="70">
        <v>19588</v>
      </c>
      <c r="B8" s="70" t="s">
        <v>135</v>
      </c>
    </row>
    <row r="9" spans="1:2" ht="21.75" customHeight="1">
      <c r="A9" s="70">
        <v>17440</v>
      </c>
      <c r="B9" s="70" t="s">
        <v>136</v>
      </c>
    </row>
    <row r="10" spans="1:2" ht="21.75" customHeight="1">
      <c r="A10" s="70">
        <v>17450</v>
      </c>
      <c r="B10" s="70" t="s">
        <v>137</v>
      </c>
    </row>
    <row r="11" spans="1:2" ht="21.75" customHeight="1">
      <c r="A11" s="70">
        <v>4006</v>
      </c>
      <c r="B11" s="70" t="s">
        <v>138</v>
      </c>
    </row>
    <row r="12" spans="1:2" ht="21.75" customHeight="1">
      <c r="A12" s="70">
        <v>19666</v>
      </c>
      <c r="B12" s="70" t="s">
        <v>139</v>
      </c>
    </row>
    <row r="13" spans="1:2" ht="21.75" customHeight="1">
      <c r="A13" s="70">
        <v>14594</v>
      </c>
      <c r="B13" s="70" t="s">
        <v>140</v>
      </c>
    </row>
    <row r="14" spans="1:2" ht="21.75" customHeight="1">
      <c r="A14" s="70">
        <v>15944</v>
      </c>
      <c r="B14" s="70" t="s">
        <v>141</v>
      </c>
    </row>
    <row r="15" spans="1:2" ht="21.75" customHeight="1">
      <c r="A15" s="70">
        <v>3261</v>
      </c>
      <c r="B15" s="70" t="s">
        <v>142</v>
      </c>
    </row>
    <row r="16" spans="1:2" ht="21.75" customHeight="1">
      <c r="A16" s="70">
        <v>19689</v>
      </c>
      <c r="B16" s="70" t="s">
        <v>143</v>
      </c>
    </row>
    <row r="17" spans="1:2" ht="21.75" customHeight="1">
      <c r="A17" s="70">
        <v>20193</v>
      </c>
      <c r="B17" s="70" t="s">
        <v>144</v>
      </c>
    </row>
    <row r="18" spans="1:2" ht="21.75" customHeight="1">
      <c r="A18" s="70">
        <v>17597</v>
      </c>
      <c r="B18" s="70" t="s">
        <v>126</v>
      </c>
    </row>
    <row r="19" spans="1:2" ht="21.75" customHeight="1">
      <c r="A19" s="70">
        <v>20082</v>
      </c>
      <c r="B19" s="70" t="s">
        <v>127</v>
      </c>
    </row>
    <row r="20" spans="1:2" ht="21.75" customHeight="1">
      <c r="A20" s="70">
        <v>17258</v>
      </c>
      <c r="B20" s="70" t="s">
        <v>145</v>
      </c>
    </row>
    <row r="21" spans="1:2" ht="21.75" customHeight="1">
      <c r="A21" s="70">
        <v>19657</v>
      </c>
      <c r="B21" s="70" t="s">
        <v>146</v>
      </c>
    </row>
    <row r="22" spans="1:2" ht="21.75" customHeight="1">
      <c r="A22" s="70">
        <v>20303</v>
      </c>
      <c r="B22" s="70" t="s">
        <v>147</v>
      </c>
    </row>
    <row r="23" spans="1:2" ht="21.75" customHeight="1">
      <c r="A23" s="70">
        <v>19548</v>
      </c>
      <c r="B23" s="70" t="s">
        <v>148</v>
      </c>
    </row>
    <row r="24" spans="1:2" ht="21.75" customHeight="1">
      <c r="A24" s="70">
        <v>19518</v>
      </c>
      <c r="B24" s="70" t="s">
        <v>149</v>
      </c>
    </row>
    <row r="25" spans="1:2" ht="21.75" customHeight="1">
      <c r="A25" s="70">
        <v>19673</v>
      </c>
      <c r="B25" s="70" t="s">
        <v>150</v>
      </c>
    </row>
    <row r="26" spans="1:2" ht="21.75" customHeight="1">
      <c r="A26" s="70">
        <v>19503</v>
      </c>
      <c r="B26" s="70" t="s">
        <v>151</v>
      </c>
    </row>
    <row r="27" spans="1:2" ht="21.75" customHeight="1">
      <c r="A27" s="70">
        <v>20239</v>
      </c>
      <c r="B27" s="70" t="s">
        <v>152</v>
      </c>
    </row>
    <row r="28" spans="1:2" ht="21.75" customHeight="1">
      <c r="A28" s="70">
        <v>20176</v>
      </c>
      <c r="B28" s="70" t="s">
        <v>153</v>
      </c>
    </row>
    <row r="29" spans="1:2" ht="21.75" customHeight="1">
      <c r="A29" s="70">
        <v>19701</v>
      </c>
      <c r="B29" s="70" t="s">
        <v>154</v>
      </c>
    </row>
    <row r="30" spans="1:2" ht="21.75" customHeight="1">
      <c r="A30" s="70">
        <v>739</v>
      </c>
      <c r="B30" s="70" t="s">
        <v>155</v>
      </c>
    </row>
    <row r="31" spans="1:2" ht="21.75" customHeight="1">
      <c r="A31" s="70">
        <v>19280</v>
      </c>
      <c r="B31" s="70" t="s">
        <v>156</v>
      </c>
    </row>
    <row r="32" spans="1:2" ht="21.75" customHeight="1">
      <c r="A32" s="70">
        <v>3264</v>
      </c>
      <c r="B32" s="70" t="s">
        <v>157</v>
      </c>
    </row>
    <row r="33" spans="1:2" ht="21.75" customHeight="1">
      <c r="A33" s="70">
        <v>6687</v>
      </c>
      <c r="B33" s="70" t="s">
        <v>158</v>
      </c>
    </row>
    <row r="34" spans="1:2" ht="21.75" customHeight="1">
      <c r="A34" s="70">
        <v>20218</v>
      </c>
      <c r="B34" s="70" t="s">
        <v>159</v>
      </c>
    </row>
    <row r="35" spans="1:2" ht="21.75" customHeight="1">
      <c r="A35" s="70">
        <v>17256</v>
      </c>
      <c r="B35" s="70" t="s">
        <v>160</v>
      </c>
    </row>
    <row r="36" spans="1:2" ht="21.75" customHeight="1">
      <c r="A36" s="70">
        <v>19696</v>
      </c>
      <c r="B36" s="70" t="s">
        <v>161</v>
      </c>
    </row>
    <row r="37" spans="1:2" ht="21.75" customHeight="1">
      <c r="A37" s="70">
        <v>14194</v>
      </c>
      <c r="B37" s="70" t="s">
        <v>162</v>
      </c>
    </row>
    <row r="38" spans="1:2" ht="21.75" customHeight="1">
      <c r="A38" s="70">
        <v>19530</v>
      </c>
      <c r="B38" s="70" t="s">
        <v>163</v>
      </c>
    </row>
    <row r="39" spans="1:2" ht="21.75" customHeight="1">
      <c r="A39" s="70">
        <v>19792</v>
      </c>
      <c r="B39" s="70" t="s">
        <v>164</v>
      </c>
    </row>
    <row r="40" spans="1:2" ht="21.75" customHeight="1">
      <c r="A40" s="70">
        <v>17911</v>
      </c>
      <c r="B40" s="70" t="s">
        <v>165</v>
      </c>
    </row>
    <row r="41" spans="1:2" ht="21.75" customHeight="1">
      <c r="A41" s="70">
        <v>19305</v>
      </c>
      <c r="B41" s="70" t="s">
        <v>166</v>
      </c>
    </row>
    <row r="42" spans="1:2">
      <c r="B42" s="74" t="s">
        <v>214</v>
      </c>
    </row>
    <row r="43" spans="1:2">
      <c r="B43" s="35" t="s">
        <v>260</v>
      </c>
    </row>
  </sheetData>
  <pageMargins left="0.511811024" right="0.511811024" top="0.78740157499999996" bottom="0.78740157499999996" header="0.31496062000000002" footer="0.31496062000000002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602B-083B-420E-BB52-852D78D8691A}">
  <dimension ref="A1:B27"/>
  <sheetViews>
    <sheetView topLeftCell="A3" workbookViewId="0">
      <selection activeCell="B21" sqref="B21"/>
    </sheetView>
  </sheetViews>
  <sheetFormatPr defaultRowHeight="12.75"/>
  <cols>
    <col min="1" max="1" width="17.5703125" customWidth="1"/>
    <col min="2" max="2" width="30.5703125" customWidth="1"/>
  </cols>
  <sheetData>
    <row r="1" spans="1:2" ht="26.25">
      <c r="A1" s="71" t="s">
        <v>188</v>
      </c>
      <c r="B1" s="71"/>
    </row>
    <row r="2" spans="1:2" ht="26.25">
      <c r="A2" s="72" t="s">
        <v>189</v>
      </c>
      <c r="B2" s="72" t="s">
        <v>190</v>
      </c>
    </row>
    <row r="3" spans="1:2" ht="22.5">
      <c r="A3" s="73">
        <v>320</v>
      </c>
      <c r="B3" s="73" t="s">
        <v>191</v>
      </c>
    </row>
    <row r="4" spans="1:2" ht="22.5">
      <c r="A4" s="73">
        <v>322</v>
      </c>
      <c r="B4" s="73" t="s">
        <v>192</v>
      </c>
    </row>
    <row r="5" spans="1:2" ht="22.5">
      <c r="A5" s="73">
        <v>371</v>
      </c>
      <c r="B5" s="73" t="s">
        <v>215</v>
      </c>
    </row>
    <row r="6" spans="1:2" ht="22.5">
      <c r="A6" s="73">
        <v>372</v>
      </c>
      <c r="B6" s="73" t="s">
        <v>193</v>
      </c>
    </row>
    <row r="7" spans="1:2" ht="22.5">
      <c r="A7" s="73">
        <v>373</v>
      </c>
      <c r="B7" s="73" t="s">
        <v>194</v>
      </c>
    </row>
    <row r="8" spans="1:2" ht="22.5">
      <c r="A8" s="73">
        <v>374</v>
      </c>
      <c r="B8" s="73" t="s">
        <v>195</v>
      </c>
    </row>
    <row r="9" spans="1:2" ht="22.5">
      <c r="A9" s="73">
        <v>375</v>
      </c>
      <c r="B9" s="73" t="s">
        <v>196</v>
      </c>
    </row>
    <row r="10" spans="1:2" ht="22.5">
      <c r="A10" s="73">
        <v>376</v>
      </c>
      <c r="B10" s="73" t="s">
        <v>197</v>
      </c>
    </row>
    <row r="11" spans="1:2" ht="22.5">
      <c r="A11" s="73">
        <v>377</v>
      </c>
      <c r="B11" s="73" t="s">
        <v>198</v>
      </c>
    </row>
    <row r="12" spans="1:2" ht="22.5">
      <c r="A12" s="73">
        <v>399</v>
      </c>
      <c r="B12" s="73" t="s">
        <v>199</v>
      </c>
    </row>
    <row r="13" spans="1:2" ht="22.5">
      <c r="A13" s="73">
        <v>403</v>
      </c>
      <c r="B13" s="73" t="s">
        <v>200</v>
      </c>
    </row>
    <row r="14" spans="1:2" ht="22.5">
      <c r="A14" s="73">
        <v>404</v>
      </c>
      <c r="B14" s="73" t="s">
        <v>201</v>
      </c>
    </row>
    <row r="15" spans="1:2" ht="22.5">
      <c r="A15" s="73">
        <v>405</v>
      </c>
      <c r="B15" s="73" t="s">
        <v>202</v>
      </c>
    </row>
    <row r="16" spans="1:2" ht="22.5">
      <c r="A16" s="73">
        <v>406</v>
      </c>
      <c r="B16" s="73" t="s">
        <v>203</v>
      </c>
    </row>
    <row r="17" spans="1:2" ht="22.5">
      <c r="A17" s="73">
        <v>407</v>
      </c>
      <c r="B17" s="73" t="s">
        <v>204</v>
      </c>
    </row>
    <row r="18" spans="1:2" ht="22.5">
      <c r="A18" s="73">
        <v>479</v>
      </c>
      <c r="B18" s="73" t="s">
        <v>205</v>
      </c>
    </row>
    <row r="19" spans="1:2" ht="22.5">
      <c r="A19" s="73">
        <v>480</v>
      </c>
      <c r="B19" s="73" t="s">
        <v>206</v>
      </c>
    </row>
    <row r="20" spans="1:2" ht="22.5">
      <c r="A20" s="73">
        <v>481</v>
      </c>
      <c r="B20" s="73" t="s">
        <v>207</v>
      </c>
    </row>
    <row r="21" spans="1:2" ht="22.5">
      <c r="A21" s="73">
        <v>495</v>
      </c>
      <c r="B21" s="73" t="s">
        <v>167</v>
      </c>
    </row>
    <row r="22" spans="1:2" ht="22.5">
      <c r="A22" s="73">
        <v>497</v>
      </c>
      <c r="B22" s="73" t="s">
        <v>208</v>
      </c>
    </row>
    <row r="23" spans="1:2" ht="22.5">
      <c r="A23" s="73">
        <v>498</v>
      </c>
      <c r="B23" s="73" t="s">
        <v>209</v>
      </c>
    </row>
    <row r="24" spans="1:2" ht="22.5">
      <c r="A24" s="73">
        <v>499</v>
      </c>
      <c r="B24" s="73" t="s">
        <v>210</v>
      </c>
    </row>
    <row r="25" spans="1:2" ht="22.5">
      <c r="A25" s="73">
        <v>510</v>
      </c>
      <c r="B25" s="73" t="s">
        <v>211</v>
      </c>
    </row>
    <row r="26" spans="1:2" ht="22.5">
      <c r="A26" s="73">
        <v>511</v>
      </c>
      <c r="B26" s="73" t="s">
        <v>212</v>
      </c>
    </row>
    <row r="27" spans="1:2" ht="22.5">
      <c r="A27" s="73">
        <v>512</v>
      </c>
      <c r="B27" s="73" t="s">
        <v>216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6759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Check List</vt:lpstr>
      <vt:lpstr>EXPEDIÇÃO</vt:lpstr>
      <vt:lpstr>TERMO DE CAIXAS</vt:lpstr>
      <vt:lpstr>MOTORISTAS</vt:lpstr>
      <vt:lpstr>CAMINHÃO</vt:lpstr>
      <vt:lpstr>'Check List'!Area_de_impressao</vt:lpstr>
      <vt:lpstr>EXPEDIÇÃO!Area_de_impressao</vt:lpstr>
      <vt:lpstr>'TERMO DE CAIXAS'!Area_de_impressao</vt:lpstr>
      <vt:lpstr>'Check List'!Print_Area_0_0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Flavio Antonio de Menezes</dc:creator>
  <dc:description/>
  <cp:lastModifiedBy>Incubatorio I Pintos</cp:lastModifiedBy>
  <cp:revision>684</cp:revision>
  <cp:lastPrinted>2026-08-06T15:12:12Z</cp:lastPrinted>
  <dcterms:created xsi:type="dcterms:W3CDTF">2022-02-27T14:59:51Z</dcterms:created>
  <dcterms:modified xsi:type="dcterms:W3CDTF">2026-08-06T18:42:21Z</dcterms:modified>
  <dc:language>pt-BR</dc:language>
</cp:coreProperties>
</file>