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alne-my.sharepoint.com/personal/livia_lima_cialne_com_br/Documents/Área de Trabalho/BD PLANILHAS - PILOTO (EM TESTE)/"/>
    </mc:Choice>
  </mc:AlternateContent>
  <xr:revisionPtr revIDLastSave="5" documentId="8_{073A5D5E-EC10-4A3F-9E53-9F3350D90E68}" xr6:coauthVersionLast="47" xr6:coauthVersionMax="47" xr10:uidLastSave="{C5561CC8-95E5-4FF6-8B39-6F04E9D49FED}"/>
  <bookViews>
    <workbookView xWindow="14295" yWindow="0" windowWidth="14610" windowHeight="15585" tabRatio="500" activeTab="1" xr2:uid="{00000000-000D-0000-FFFF-FFFF00000000}"/>
  </bookViews>
  <sheets>
    <sheet name="CLIENTE" sheetId="1" r:id="rId1"/>
    <sheet name="CIALNE" sheetId="5" r:id="rId2"/>
  </sheets>
  <definedNames>
    <definedName name="_xlnm.Print_Area" localSheetId="1">CIALNE!$A$1:$N$102</definedName>
    <definedName name="_xlnm.Print_Area" localSheetId="0">CLIENTE!$A$1:$N$102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8" i="5" l="1"/>
  <c r="L82" i="5"/>
  <c r="K82" i="5"/>
  <c r="J82" i="5"/>
  <c r="I82" i="5"/>
  <c r="M81" i="5"/>
  <c r="N81" i="5" s="1"/>
  <c r="M80" i="5"/>
  <c r="N80" i="5" s="1"/>
  <c r="M79" i="5"/>
  <c r="N79" i="5" s="1"/>
  <c r="N78" i="5"/>
  <c r="M78" i="5"/>
  <c r="M77" i="5"/>
  <c r="N77" i="5" s="1"/>
  <c r="M76" i="5"/>
  <c r="N76" i="5" s="1"/>
  <c r="M75" i="5"/>
  <c r="N75" i="5" s="1"/>
  <c r="N74" i="5"/>
  <c r="M74" i="5"/>
  <c r="M73" i="5"/>
  <c r="N73" i="5" s="1"/>
  <c r="M72" i="5"/>
  <c r="N72" i="5" s="1"/>
  <c r="M71" i="5"/>
  <c r="N71" i="5" s="1"/>
  <c r="M70" i="5"/>
  <c r="N70" i="5" s="1"/>
  <c r="M69" i="5"/>
  <c r="N69" i="5" s="1"/>
  <c r="E61" i="5"/>
  <c r="E59" i="5"/>
  <c r="E57" i="5"/>
  <c r="E55" i="5"/>
  <c r="B44" i="5"/>
  <c r="C43" i="5"/>
  <c r="D43" i="5" s="1"/>
  <c r="C42" i="5"/>
  <c r="D42" i="5" s="1"/>
  <c r="C41" i="5"/>
  <c r="D41" i="5" s="1"/>
  <c r="C40" i="5"/>
  <c r="D40" i="5" s="1"/>
  <c r="C39" i="5"/>
  <c r="D39" i="5" s="1"/>
  <c r="C38" i="5"/>
  <c r="D38" i="5" s="1"/>
  <c r="C37" i="5"/>
  <c r="D37" i="5" s="1"/>
  <c r="C36" i="5"/>
  <c r="D36" i="5" s="1"/>
  <c r="F35" i="5"/>
  <c r="C35" i="5"/>
  <c r="D35" i="5" s="1"/>
  <c r="C34" i="5"/>
  <c r="D34" i="5" s="1"/>
  <c r="C33" i="5"/>
  <c r="D33" i="5" s="1"/>
  <c r="C32" i="5"/>
  <c r="D32" i="5" s="1"/>
  <c r="C31" i="5"/>
  <c r="D31" i="5" s="1"/>
  <c r="C30" i="5"/>
  <c r="D30" i="5" s="1"/>
  <c r="C29" i="5"/>
  <c r="D29" i="5" s="1"/>
  <c r="C28" i="5"/>
  <c r="D28" i="5" s="1"/>
  <c r="G27" i="5"/>
  <c r="G31" i="5" s="1"/>
  <c r="G41" i="5" s="1"/>
  <c r="C27" i="5"/>
  <c r="D27" i="5" s="1"/>
  <c r="C26" i="5"/>
  <c r="D26" i="5" s="1"/>
  <c r="C25" i="5"/>
  <c r="D25" i="5" s="1"/>
  <c r="C24" i="5"/>
  <c r="D24" i="5" s="1"/>
  <c r="C23" i="5"/>
  <c r="D23" i="5" s="1"/>
  <c r="C22" i="5"/>
  <c r="D22" i="5" s="1"/>
  <c r="C21" i="5"/>
  <c r="D21" i="5" s="1"/>
  <c r="C20" i="5"/>
  <c r="D20" i="5" s="1"/>
  <c r="C19" i="5"/>
  <c r="D19" i="5" s="1"/>
  <c r="C18" i="5"/>
  <c r="D18" i="5" s="1"/>
  <c r="C17" i="5"/>
  <c r="D17" i="5" s="1"/>
  <c r="C16" i="5"/>
  <c r="D16" i="5" s="1"/>
  <c r="C15" i="5"/>
  <c r="D15" i="5" s="1"/>
  <c r="C14" i="5"/>
  <c r="D14" i="5" s="1"/>
  <c r="C13" i="5"/>
  <c r="D13" i="5" s="1"/>
  <c r="C12" i="5"/>
  <c r="J8" i="5"/>
  <c r="D100" i="1"/>
  <c r="H87" i="1"/>
  <c r="L82" i="1"/>
  <c r="M82" i="1" s="1"/>
  <c r="N82" i="1" s="1"/>
  <c r="N71" i="1"/>
  <c r="N72" i="1"/>
  <c r="N73" i="1"/>
  <c r="N74" i="1"/>
  <c r="N75" i="1"/>
  <c r="N76" i="1"/>
  <c r="N77" i="1"/>
  <c r="N78" i="1"/>
  <c r="N79" i="1"/>
  <c r="N80" i="1"/>
  <c r="N81" i="1"/>
  <c r="N69" i="1"/>
  <c r="M70" i="1"/>
  <c r="N70" i="1" s="1"/>
  <c r="M71" i="1"/>
  <c r="M72" i="1"/>
  <c r="M73" i="1"/>
  <c r="M74" i="1"/>
  <c r="M75" i="1"/>
  <c r="M76" i="1"/>
  <c r="M77" i="1"/>
  <c r="M78" i="1"/>
  <c r="M79" i="1"/>
  <c r="M80" i="1"/>
  <c r="M81" i="1"/>
  <c r="M69" i="1"/>
  <c r="J8" i="1"/>
  <c r="G27" i="1"/>
  <c r="B44" i="1"/>
  <c r="C17" i="1"/>
  <c r="D17" i="1" s="1"/>
  <c r="C18" i="1"/>
  <c r="D18" i="1"/>
  <c r="C19" i="1"/>
  <c r="D19" i="1"/>
  <c r="C20" i="1"/>
  <c r="D20" i="1" s="1"/>
  <c r="C12" i="1"/>
  <c r="D12" i="1" s="1"/>
  <c r="C13" i="1"/>
  <c r="D13" i="1" s="1"/>
  <c r="C14" i="1"/>
  <c r="D14" i="1" s="1"/>
  <c r="C15" i="1"/>
  <c r="D15" i="1" s="1"/>
  <c r="C16" i="1"/>
  <c r="D16" i="1" s="1"/>
  <c r="M98" i="1"/>
  <c r="K82" i="1"/>
  <c r="J82" i="1"/>
  <c r="I82" i="1"/>
  <c r="E61" i="1"/>
  <c r="E59" i="1"/>
  <c r="E57" i="1"/>
  <c r="E55" i="1"/>
  <c r="C43" i="1"/>
  <c r="D43" i="1" s="1"/>
  <c r="C42" i="1"/>
  <c r="D42" i="1" s="1"/>
  <c r="C41" i="1"/>
  <c r="D41" i="1" s="1"/>
  <c r="C40" i="1"/>
  <c r="D40" i="1" s="1"/>
  <c r="C39" i="1"/>
  <c r="D39" i="1" s="1"/>
  <c r="C38" i="1"/>
  <c r="D38" i="1" s="1"/>
  <c r="C37" i="1"/>
  <c r="D37" i="1" s="1"/>
  <c r="C36" i="1"/>
  <c r="D36" i="1" s="1"/>
  <c r="C35" i="1"/>
  <c r="D35" i="1" s="1"/>
  <c r="C34" i="1"/>
  <c r="D34" i="1" s="1"/>
  <c r="C33" i="1"/>
  <c r="D33" i="1" s="1"/>
  <c r="C32" i="1"/>
  <c r="D32" i="1" s="1"/>
  <c r="C31" i="1"/>
  <c r="D31" i="1" s="1"/>
  <c r="C30" i="1"/>
  <c r="D30" i="1" s="1"/>
  <c r="C29" i="1"/>
  <c r="D29" i="1" s="1"/>
  <c r="C28" i="1"/>
  <c r="D28" i="1" s="1"/>
  <c r="C27" i="1"/>
  <c r="D27" i="1" s="1"/>
  <c r="C26" i="1"/>
  <c r="D26" i="1" s="1"/>
  <c r="C25" i="1"/>
  <c r="D25" i="1" s="1"/>
  <c r="C24" i="1"/>
  <c r="D24" i="1" s="1"/>
  <c r="C23" i="1"/>
  <c r="D23" i="1" s="1"/>
  <c r="C22" i="1"/>
  <c r="D22" i="1" s="1"/>
  <c r="C21" i="1"/>
  <c r="D21" i="1" s="1"/>
  <c r="M82" i="5" l="1"/>
  <c r="N82" i="5" s="1"/>
  <c r="C44" i="5"/>
  <c r="F32" i="5" s="1"/>
  <c r="D44" i="5"/>
  <c r="D12" i="5"/>
  <c r="G31" i="1"/>
  <c r="D44" i="1"/>
  <c r="C44" i="1"/>
  <c r="F32" i="1" s="1"/>
  <c r="F35" i="1"/>
  <c r="G29" i="5" l="1"/>
  <c r="F33" i="5"/>
  <c r="F34" i="5" s="1"/>
  <c r="F36" i="5" s="1"/>
  <c r="G33" i="5" s="1"/>
  <c r="F33" i="1"/>
  <c r="G29" i="1"/>
  <c r="G25" i="1"/>
  <c r="F34" i="1"/>
  <c r="F36" i="1" s="1"/>
  <c r="G33" i="1" s="1"/>
  <c r="G35" i="5" l="1"/>
  <c r="G37" i="5" s="1"/>
  <c r="H87" i="5" s="1"/>
  <c r="D100" i="5" s="1"/>
  <c r="H25" i="5"/>
  <c r="G25" i="5"/>
  <c r="G35" i="1"/>
  <c r="G37" i="1" s="1"/>
  <c r="H25" i="1"/>
  <c r="G4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58CD7C-6978-4675-BE99-579580D736B2}" keepAlive="1" name="Consulta - Tabela1" description="Conexão com a consulta 'Tabela1' na pasta de trabalho." type="5" refreshedVersion="0" background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<sst xmlns="http://schemas.openxmlformats.org/spreadsheetml/2006/main" count="344" uniqueCount="167">
  <si>
    <t>REGISTRO</t>
  </si>
  <si>
    <t>REG-IC.: _________</t>
  </si>
  <si>
    <t>INSPEÇÃO FINAL DO PRODUTO ACABADO - PINTO DE UM DIA</t>
  </si>
  <si>
    <t>PAG.01 de 01</t>
  </si>
  <si>
    <t>INCUBATÓRIO – FORTALEZA</t>
  </si>
  <si>
    <t>REV.: 00</t>
  </si>
  <si>
    <t>DATA DA CRIAÇÃO: 21/02/22</t>
  </si>
  <si>
    <t>DATA DA ÚLTIMA REVISÃO:</t>
  </si>
  <si>
    <t>Cliente:</t>
  </si>
  <si>
    <t>Data:</t>
  </si>
  <si>
    <t>Tamanho da Carga</t>
  </si>
  <si>
    <t>Total da Amostra</t>
  </si>
  <si>
    <t xml:space="preserve">        % Amostra</t>
  </si>
  <si>
    <t>Peso e Uniformidade</t>
  </si>
  <si>
    <t>KM:</t>
  </si>
  <si>
    <t xml:space="preserve">Especificação: </t>
  </si>
  <si>
    <t>1ª</t>
  </si>
  <si>
    <t>PESO</t>
  </si>
  <si>
    <t>FREQ.</t>
  </si>
  <si>
    <r>
      <rPr>
        <b/>
        <sz val="8"/>
        <rFont val="Times New Roman"/>
        <family val="1"/>
        <charset val="1"/>
      </rPr>
      <t>Ex</t>
    </r>
    <r>
      <rPr>
        <b/>
        <vertAlign val="superscript"/>
        <sz val="8"/>
        <rFont val="Times New Roman"/>
        <family val="1"/>
        <charset val="1"/>
      </rPr>
      <t>2</t>
    </r>
  </si>
  <si>
    <t>Ex</t>
  </si>
  <si>
    <t>DESVIO</t>
  </si>
  <si>
    <t>- 10%</t>
  </si>
  <si>
    <t>No de CAIXAS no desvio</t>
  </si>
  <si>
    <t>Peso Médio (g)</t>
  </si>
  <si>
    <t>Uniformidade:</t>
  </si>
  <si>
    <r>
      <rPr>
        <b/>
        <sz val="8"/>
        <rFont val="Times New Roman"/>
        <family val="1"/>
        <charset val="1"/>
      </rPr>
      <t>nEx</t>
    </r>
    <r>
      <rPr>
        <b/>
        <vertAlign val="superscript"/>
        <sz val="8"/>
        <rFont val="Times New Roman"/>
        <family val="1"/>
        <charset val="1"/>
      </rPr>
      <t>2</t>
    </r>
  </si>
  <si>
    <t>Desvio Padrão:</t>
  </si>
  <si>
    <r>
      <rPr>
        <b/>
        <sz val="8"/>
        <rFont val="Times New Roman"/>
        <family val="1"/>
        <charset val="1"/>
      </rPr>
      <t>(Ex</t>
    </r>
    <r>
      <rPr>
        <b/>
        <vertAlign val="superscript"/>
        <sz val="8"/>
        <rFont val="Times New Roman"/>
        <family val="1"/>
        <charset val="1"/>
      </rPr>
      <t>2</t>
    </r>
    <r>
      <rPr>
        <b/>
        <sz val="8"/>
        <rFont val="Times New Roman"/>
        <family val="1"/>
        <charset val="1"/>
      </rPr>
      <t>)</t>
    </r>
  </si>
  <si>
    <r>
      <rPr>
        <b/>
        <sz val="8"/>
        <rFont val="Times New Roman"/>
        <family val="1"/>
        <charset val="1"/>
      </rPr>
      <t>nEx</t>
    </r>
    <r>
      <rPr>
        <b/>
        <vertAlign val="superscript"/>
        <sz val="8"/>
        <rFont val="Times New Roman"/>
        <family val="1"/>
        <charset val="1"/>
      </rPr>
      <t>2</t>
    </r>
    <r>
      <rPr>
        <b/>
        <sz val="8"/>
        <rFont val="Times New Roman"/>
        <family val="1"/>
        <charset val="1"/>
      </rPr>
      <t>-(Ex</t>
    </r>
    <r>
      <rPr>
        <b/>
        <vertAlign val="superscript"/>
        <sz val="8"/>
        <rFont val="Times New Roman"/>
        <family val="1"/>
        <charset val="1"/>
      </rPr>
      <t>2</t>
    </r>
    <r>
      <rPr>
        <b/>
        <sz val="8"/>
        <rFont val="Times New Roman"/>
        <family val="1"/>
        <charset val="1"/>
      </rPr>
      <t>)</t>
    </r>
  </si>
  <si>
    <t>Coef. De Variação:</t>
  </si>
  <si>
    <t>n(n-1)</t>
  </si>
  <si>
    <t>Situação de Inspeção (CV);</t>
  </si>
  <si>
    <t>Situação de Inspeção (UNIF);</t>
  </si>
  <si>
    <t>TOTAL</t>
  </si>
  <si>
    <t>Seleção e Trabalho dos Pintos</t>
  </si>
  <si>
    <t>Limites de Tolerância</t>
  </si>
  <si>
    <t>Pintos Sem Vivacidade / Apáticos</t>
  </si>
  <si>
    <t xml:space="preserve"> </t>
  </si>
  <si>
    <t>TEMPO                         DE                 PERMANÊNCIA</t>
  </si>
  <si>
    <t>RETIRADA</t>
  </si>
  <si>
    <t>Peso Médio</t>
  </si>
  <si>
    <t>Penugem fora especificado (coloração, queimado)</t>
  </si>
  <si>
    <t>ÚNICA</t>
  </si>
  <si>
    <t>1 hora</t>
  </si>
  <si>
    <t>Olhos Anormais (cego, remela e outros)</t>
  </si>
  <si>
    <t>Abdome rígido (balofo)  e Cloaca Empastada</t>
  </si>
  <si>
    <t>KM</t>
  </si>
  <si>
    <t>Desidratado</t>
  </si>
  <si>
    <t>&lt; 350 KM</t>
  </si>
  <si>
    <t>24 horas</t>
  </si>
  <si>
    <t>Bico torto</t>
  </si>
  <si>
    <t>351 a 900 KM</t>
  </si>
  <si>
    <t>20 horas</t>
  </si>
  <si>
    <t>Locomotores anormais (pés tortos e outros)</t>
  </si>
  <si>
    <t>901 a 1800 KM</t>
  </si>
  <si>
    <t>12 horas</t>
  </si>
  <si>
    <t>Uniformidade</t>
  </si>
  <si>
    <r>
      <rPr>
        <b/>
        <sz val="10"/>
        <rFont val="Times New Roman"/>
        <family val="1"/>
        <charset val="1"/>
      </rPr>
      <t xml:space="preserve">1ª </t>
    </r>
    <r>
      <rPr>
        <b/>
        <u/>
        <sz val="10"/>
        <rFont val="Times New Roman"/>
        <family val="1"/>
        <charset val="1"/>
      </rPr>
      <t>&gt;</t>
    </r>
    <r>
      <rPr>
        <b/>
        <sz val="10"/>
        <rFont val="Times New Roman"/>
        <family val="1"/>
        <charset val="1"/>
      </rPr>
      <t xml:space="preserve"> 90%</t>
    </r>
  </si>
  <si>
    <t>Problemas de joelho vermelho (juntas avermelhadas)</t>
  </si>
  <si>
    <t>&gt;1800 KM</t>
  </si>
  <si>
    <t>08 horas</t>
  </si>
  <si>
    <t>% Anomalias</t>
  </si>
  <si>
    <r>
      <rPr>
        <b/>
        <sz val="10"/>
        <rFont val="Times New Roman"/>
        <family val="1"/>
        <charset val="1"/>
      </rPr>
      <t xml:space="preserve">2ª </t>
    </r>
    <r>
      <rPr>
        <b/>
        <u/>
        <sz val="10"/>
        <rFont val="Times New Roman"/>
        <family val="1"/>
        <charset val="1"/>
      </rPr>
      <t>&gt;</t>
    </r>
    <r>
      <rPr>
        <b/>
        <sz val="10"/>
        <rFont val="Times New Roman"/>
        <family val="1"/>
        <charset val="1"/>
      </rPr>
      <t xml:space="preserve"> 90%</t>
    </r>
  </si>
  <si>
    <t xml:space="preserve">Ponto, fio Preto ou grau cicatrização no Umbigo </t>
  </si>
  <si>
    <t>Tabela de Amostragem</t>
  </si>
  <si>
    <r>
      <rPr>
        <b/>
        <sz val="9"/>
        <rFont val="Calibri"/>
        <family val="2"/>
        <charset val="1"/>
      </rPr>
      <t xml:space="preserve">% Problemas umbilical ( </t>
    </r>
    <r>
      <rPr>
        <b/>
        <u/>
        <sz val="9"/>
        <rFont val="Calibri"/>
        <family val="2"/>
        <charset val="1"/>
      </rPr>
      <t xml:space="preserve">&lt; </t>
    </r>
    <r>
      <rPr>
        <b/>
        <sz val="9"/>
        <rFont val="Calibri"/>
        <family val="2"/>
        <charset val="1"/>
      </rPr>
      <t>1,0%)</t>
    </r>
  </si>
  <si>
    <t>Tamanho do Lote</t>
  </si>
  <si>
    <t>Amostra</t>
  </si>
  <si>
    <t>Unidades defeituosas</t>
  </si>
  <si>
    <r>
      <rPr>
        <b/>
        <sz val="10"/>
        <rFont val="Calibri"/>
        <family val="2"/>
        <charset val="1"/>
      </rPr>
      <t xml:space="preserve">3ª </t>
    </r>
    <r>
      <rPr>
        <b/>
        <u/>
        <sz val="10"/>
        <rFont val="Times New Roman"/>
        <family val="1"/>
        <charset val="1"/>
      </rPr>
      <t>&gt;</t>
    </r>
    <r>
      <rPr>
        <b/>
        <sz val="10"/>
        <rFont val="Times New Roman"/>
        <family val="1"/>
        <charset val="1"/>
      </rPr>
      <t xml:space="preserve"> 70%</t>
    </r>
  </si>
  <si>
    <t>Erros de Contagem</t>
  </si>
  <si>
    <r>
      <rPr>
        <b/>
        <sz val="9"/>
        <rFont val="Calibri"/>
        <family val="2"/>
        <charset val="1"/>
      </rPr>
      <t xml:space="preserve">% Erro de Contagem ( </t>
    </r>
    <r>
      <rPr>
        <b/>
        <u/>
        <sz val="9"/>
        <rFont val="Calibri"/>
        <family val="2"/>
        <charset val="1"/>
      </rPr>
      <t>&lt;</t>
    </r>
    <r>
      <rPr>
        <b/>
        <sz val="9"/>
        <rFont val="Calibri"/>
        <family val="2"/>
        <charset val="1"/>
      </rPr>
      <t xml:space="preserve"> 0,3% )</t>
    </r>
  </si>
  <si>
    <t>01 a 5.000</t>
  </si>
  <si>
    <t>C.V</t>
  </si>
  <si>
    <r>
      <rPr>
        <b/>
        <u/>
        <sz val="10"/>
        <rFont val="Calibri"/>
        <family val="2"/>
        <charset val="1"/>
      </rPr>
      <t>&lt;</t>
    </r>
    <r>
      <rPr>
        <b/>
        <sz val="10"/>
        <rFont val="Calibri"/>
        <family val="2"/>
        <charset val="1"/>
      </rPr>
      <t xml:space="preserve"> 8,5</t>
    </r>
  </si>
  <si>
    <t xml:space="preserve">Erros de Sexagem </t>
  </si>
  <si>
    <t>5.001 a 15.000</t>
  </si>
  <si>
    <t>Sexagem</t>
  </si>
  <si>
    <r>
      <rPr>
        <b/>
        <u/>
        <sz val="10"/>
        <rFont val="Calibri"/>
        <family val="2"/>
        <charset val="1"/>
      </rPr>
      <t>&lt;</t>
    </r>
    <r>
      <rPr>
        <b/>
        <sz val="10"/>
        <rFont val="Calibri"/>
        <family val="2"/>
        <charset val="1"/>
      </rPr>
      <t xml:space="preserve"> 5,0%</t>
    </r>
  </si>
  <si>
    <r>
      <rPr>
        <b/>
        <sz val="9"/>
        <rFont val="Calibri"/>
        <family val="2"/>
        <charset val="1"/>
      </rPr>
      <t xml:space="preserve">% Erro de Sexagem ( </t>
    </r>
    <r>
      <rPr>
        <b/>
        <u/>
        <sz val="9"/>
        <rFont val="Calibri"/>
        <family val="2"/>
        <charset val="1"/>
      </rPr>
      <t xml:space="preserve">&lt; </t>
    </r>
    <r>
      <rPr>
        <b/>
        <sz val="9"/>
        <rFont val="Calibri"/>
        <family val="2"/>
        <charset val="1"/>
      </rPr>
      <t>5%)</t>
    </r>
  </si>
  <si>
    <t>15.001 a 30.000</t>
  </si>
  <si>
    <t>Erro Contagem</t>
  </si>
  <si>
    <r>
      <rPr>
        <b/>
        <u/>
        <sz val="10"/>
        <rFont val="Calibri"/>
        <family val="2"/>
        <charset val="1"/>
      </rPr>
      <t>&lt;</t>
    </r>
    <r>
      <rPr>
        <b/>
        <sz val="10"/>
        <rFont val="Calibri"/>
        <family val="2"/>
        <charset val="1"/>
      </rPr>
      <t xml:space="preserve"> 0,3%</t>
    </r>
  </si>
  <si>
    <t>Idade das Matrizes</t>
  </si>
  <si>
    <t>Mínima</t>
  </si>
  <si>
    <t>30.001 a 50.000</t>
  </si>
  <si>
    <t>Eficência Vac.</t>
  </si>
  <si>
    <r>
      <rPr>
        <b/>
        <u/>
        <sz val="10"/>
        <rFont val="Calibri"/>
        <family val="2"/>
        <charset val="1"/>
      </rPr>
      <t>&gt;</t>
    </r>
    <r>
      <rPr>
        <b/>
        <sz val="10"/>
        <rFont val="Calibri"/>
        <family val="2"/>
        <charset val="1"/>
      </rPr>
      <t>98%</t>
    </r>
  </si>
  <si>
    <t>Máxima</t>
  </si>
  <si>
    <t>50.001 a 80.000</t>
  </si>
  <si>
    <t>Umbigo</t>
  </si>
  <si>
    <r>
      <rPr>
        <b/>
        <u/>
        <sz val="10"/>
        <rFont val="Calibri"/>
        <family val="2"/>
        <charset val="1"/>
      </rPr>
      <t>&lt;</t>
    </r>
    <r>
      <rPr>
        <b/>
        <sz val="10"/>
        <rFont val="Calibri"/>
        <family val="2"/>
        <charset val="1"/>
      </rPr>
      <t xml:space="preserve"> 1,0%</t>
    </r>
  </si>
  <si>
    <t>80.001 a 120.000</t>
  </si>
  <si>
    <t>Até 6</t>
  </si>
  <si>
    <t>Anomalias</t>
  </si>
  <si>
    <t>ZERO</t>
  </si>
  <si>
    <t>Perca Umidade</t>
  </si>
  <si>
    <t>11 a 13%</t>
  </si>
  <si>
    <t>Vacinas</t>
  </si>
  <si>
    <t>Eficiência da Vacinação</t>
  </si>
  <si>
    <t>Rendimento</t>
  </si>
  <si>
    <t>67 a 69%</t>
  </si>
  <si>
    <t>Nº Pintos Vacinados</t>
  </si>
  <si>
    <t>Eficiência (%)</t>
  </si>
  <si>
    <t>Limite</t>
  </si>
  <si>
    <t>Real</t>
  </si>
  <si>
    <t xml:space="preserve">Coccidiose </t>
  </si>
  <si>
    <t>(         )</t>
  </si>
  <si>
    <t>% de Eficiência</t>
  </si>
  <si>
    <t>Perda de Umidade na Transferência</t>
  </si>
  <si>
    <t>Outras</t>
  </si>
  <si>
    <t>(    X   )</t>
  </si>
  <si>
    <t xml:space="preserve">Rendimento do Pinto </t>
  </si>
  <si>
    <t>Corante em 100% das caixas</t>
  </si>
  <si>
    <r>
      <rPr>
        <b/>
        <u/>
        <sz val="8"/>
        <rFont val="Times New Roman"/>
        <family val="1"/>
        <charset val="1"/>
      </rPr>
      <t>&gt;</t>
    </r>
    <r>
      <rPr>
        <sz val="8"/>
        <rFont val="Times New Roman"/>
        <family val="1"/>
        <charset val="1"/>
      </rPr>
      <t xml:space="preserve"> 90% dos pintos</t>
    </r>
  </si>
  <si>
    <t>SIM</t>
  </si>
  <si>
    <t>LIMITE 72</t>
  </si>
  <si>
    <t>Tempo de Permanência</t>
  </si>
  <si>
    <t>Situação Inspeção</t>
  </si>
  <si>
    <t>Informações por lotes de origem</t>
  </si>
  <si>
    <t>Hora Coleta</t>
  </si>
  <si>
    <t>Horário de Liberação da Carga (pronta)</t>
  </si>
  <si>
    <t>Chegada do Caminhão na Plataforma</t>
  </si>
  <si>
    <t>Horário de Saída caminhão carregado</t>
  </si>
  <si>
    <t>Mínimo</t>
  </si>
  <si>
    <t>Máximo</t>
  </si>
  <si>
    <t>Observações:</t>
  </si>
  <si>
    <t>Registro de Problemas Sanitários</t>
  </si>
  <si>
    <t>Certificado de Vacina Conferido</t>
  </si>
  <si>
    <t xml:space="preserve">Situação de Inspeção </t>
  </si>
  <si>
    <t>Nº RNC</t>
  </si>
  <si>
    <t>Liberado para Expedição</t>
  </si>
  <si>
    <t>(     ) SIM     (      ) NÃO</t>
  </si>
  <si>
    <t>Responsável:</t>
  </si>
  <si>
    <t>Assinatura:</t>
  </si>
  <si>
    <t xml:space="preserve">Data: </t>
  </si>
  <si>
    <t>Linhagem:</t>
  </si>
  <si>
    <t>Tipo do Produto:</t>
  </si>
  <si>
    <t>I</t>
  </si>
  <si>
    <t>Nota Fiscal</t>
  </si>
  <si>
    <t>G.T.A</t>
  </si>
  <si>
    <t>Peso da Caixa</t>
  </si>
  <si>
    <r>
      <t xml:space="preserve">T1 -  </t>
    </r>
    <r>
      <rPr>
        <b/>
        <u/>
        <sz val="10"/>
        <rFont val="Times New Roman"/>
        <family val="1"/>
        <charset val="1"/>
      </rPr>
      <t>&gt;</t>
    </r>
    <r>
      <rPr>
        <b/>
        <sz val="10"/>
        <rFont val="Times New Roman"/>
        <family val="1"/>
        <charset val="1"/>
      </rPr>
      <t xml:space="preserve"> 43gr</t>
    </r>
    <r>
      <rPr>
        <b/>
        <sz val="8"/>
        <rFont val="Calibri"/>
        <family val="2"/>
        <charset val="1"/>
      </rPr>
      <t xml:space="preserve">                 (I)</t>
    </r>
  </si>
  <si>
    <r>
      <t xml:space="preserve">T2 </t>
    </r>
    <r>
      <rPr>
        <b/>
        <u/>
        <sz val="10"/>
        <rFont val="Times New Roman"/>
        <family val="1"/>
        <charset val="1"/>
      </rPr>
      <t>&gt;</t>
    </r>
    <r>
      <rPr>
        <b/>
        <sz val="10"/>
        <rFont val="Times New Roman"/>
        <family val="1"/>
        <charset val="1"/>
      </rPr>
      <t xml:space="preserve"> 38gr</t>
    </r>
    <r>
      <rPr>
        <b/>
        <sz val="8"/>
        <rFont val="Calibri"/>
        <family val="2"/>
        <charset val="1"/>
      </rPr>
      <t xml:space="preserve">                      (II)</t>
    </r>
  </si>
  <si>
    <r>
      <t xml:space="preserve">T3 </t>
    </r>
    <r>
      <rPr>
        <b/>
        <u/>
        <sz val="10"/>
        <rFont val="Times New Roman"/>
        <family val="1"/>
        <charset val="1"/>
      </rPr>
      <t>&gt;</t>
    </r>
    <r>
      <rPr>
        <b/>
        <sz val="10"/>
        <rFont val="Times New Roman"/>
        <family val="1"/>
        <charset val="1"/>
      </rPr>
      <t xml:space="preserve"> 30gr</t>
    </r>
    <r>
      <rPr>
        <b/>
        <sz val="8"/>
        <rFont val="Calibri"/>
        <family val="2"/>
        <charset val="1"/>
      </rPr>
      <t xml:space="preserve">                (III)</t>
    </r>
  </si>
  <si>
    <t>VACINAS</t>
  </si>
  <si>
    <t>CEPA</t>
  </si>
  <si>
    <t>PARTIDA</t>
  </si>
  <si>
    <t>VENC.</t>
  </si>
  <si>
    <t>DOSE</t>
  </si>
  <si>
    <t>LABOR.</t>
  </si>
  <si>
    <t>VACINADORA</t>
  </si>
  <si>
    <t>"NÃO" VACINADOS</t>
  </si>
  <si>
    <t>"MAL" VACINADOS</t>
  </si>
  <si>
    <t>ERRO NA SEXAGEM</t>
  </si>
  <si>
    <t>Nº PINTOS AVALIADOS</t>
  </si>
  <si>
    <t>Rendimento dos Pintos</t>
  </si>
  <si>
    <t>NÃO</t>
  </si>
  <si>
    <t>LOTE</t>
  </si>
  <si>
    <t>IDADE</t>
  </si>
  <si>
    <t>MÁQUINA</t>
  </si>
  <si>
    <t>LINHAGEM</t>
  </si>
  <si>
    <t>PESO MÉDIO</t>
  </si>
  <si>
    <t>Nº CAIXAS</t>
  </si>
  <si>
    <t>COLABORADORES AUTORIZADOS A REALIZAREM A INSPEÇÃO FINAL  -  LIVIA LIMA, JULIANE MONTEIRO</t>
  </si>
  <si>
    <t>Horário Planejado em Reunião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</si>
</sst>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\-??_);_(@_)"/>
    <numFmt numFmtId="165" formatCode="0.0%"/>
    <numFmt numFmtId="166" formatCode="_(* #,##0.00_);_(* \(#,##0.00\);_(* \-??_);_(@_)"/>
    <numFmt numFmtId="167" formatCode="0.0"/>
    <numFmt numFmtId="168" formatCode="#"/>
    <numFmt numFmtId="169" formatCode="hh:mm;@"/>
    <numFmt numFmtId="170" formatCode="[$-416]d\-mmm\-yy;@"/>
    <numFmt numFmtId="171" formatCode="[$R$-416]\ #,##0.00;[Red]\-[$R$-416]\ #,##0.00"/>
  </numFmts>
  <fonts count="49">
    <font>
      <sz val="10"/>
      <name val="Arial"/>
      <family val="2"/>
      <charset val="1"/>
    </font>
    <font>
      <sz val="8"/>
      <name val="Calibri"/>
      <family val="2"/>
      <charset val="1"/>
    </font>
    <font>
      <b/>
      <sz val="12"/>
      <name val="Calibri"/>
      <family val="2"/>
      <charset val="1"/>
    </font>
    <font>
      <b/>
      <sz val="10"/>
      <name val="Calibri"/>
      <family val="2"/>
      <charset val="1"/>
    </font>
    <font>
      <b/>
      <sz val="14"/>
      <name val="Calibri"/>
      <family val="2"/>
      <charset val="1"/>
    </font>
    <font>
      <b/>
      <sz val="10"/>
      <color rgb="FF0070C0"/>
      <name val="Calibri"/>
      <family val="2"/>
      <charset val="1"/>
    </font>
    <font>
      <sz val="10"/>
      <name val="Calibri"/>
      <family val="2"/>
      <charset val="1"/>
    </font>
    <font>
      <sz val="11"/>
      <name val="Calibri"/>
      <family val="2"/>
      <charset val="1"/>
    </font>
    <font>
      <b/>
      <sz val="8"/>
      <name val="Calibri"/>
      <family val="2"/>
      <charset val="1"/>
    </font>
    <font>
      <b/>
      <sz val="8"/>
      <name val="Times New Roman"/>
      <family val="1"/>
      <charset val="1"/>
    </font>
    <font>
      <b/>
      <vertAlign val="superscript"/>
      <sz val="8"/>
      <name val="Times New Roman"/>
      <family val="1"/>
      <charset val="1"/>
    </font>
    <font>
      <b/>
      <sz val="8"/>
      <color rgb="FF000000"/>
      <name val="Calibri"/>
      <family val="2"/>
      <charset val="1"/>
    </font>
    <font>
      <b/>
      <sz val="9"/>
      <name val="Calibri"/>
      <family val="2"/>
      <charset val="1"/>
    </font>
    <font>
      <b/>
      <u/>
      <sz val="10"/>
      <name val="Times New Roman"/>
      <family val="1"/>
      <charset val="1"/>
    </font>
    <font>
      <b/>
      <sz val="10"/>
      <name val="Times New Roman"/>
      <family val="1"/>
      <charset val="1"/>
    </font>
    <font>
      <b/>
      <sz val="8"/>
      <color rgb="FFC9211E"/>
      <name val="Calibri"/>
      <family val="2"/>
      <charset val="1"/>
    </font>
    <font>
      <b/>
      <u/>
      <sz val="9"/>
      <name val="Calibri"/>
      <family val="2"/>
      <charset val="1"/>
    </font>
    <font>
      <b/>
      <u/>
      <sz val="10"/>
      <name val="Calibri"/>
      <family val="2"/>
      <charset val="1"/>
    </font>
    <font>
      <sz val="9"/>
      <name val="Calibri"/>
      <family val="2"/>
      <charset val="1"/>
    </font>
    <font>
      <b/>
      <sz val="14"/>
      <color rgb="FF0070C0"/>
      <name val="Calibri"/>
      <family val="2"/>
      <charset val="1"/>
    </font>
    <font>
      <b/>
      <u/>
      <sz val="8"/>
      <name val="Times New Roman"/>
      <family val="1"/>
      <charset val="1"/>
    </font>
    <font>
      <sz val="8"/>
      <name val="Times New Roman"/>
      <family val="1"/>
      <charset val="1"/>
    </font>
    <font>
      <sz val="10"/>
      <color rgb="FF002060"/>
      <name val="Calibri"/>
      <family val="2"/>
      <charset val="1"/>
    </font>
    <font>
      <sz val="12"/>
      <name val="Calibri"/>
      <family val="2"/>
      <charset val="1"/>
    </font>
    <font>
      <b/>
      <sz val="12"/>
      <color rgb="FFFF4000"/>
      <name val="Calibri"/>
      <family val="2"/>
      <charset val="1"/>
    </font>
    <font>
      <b/>
      <sz val="11"/>
      <color rgb="FF0066CC"/>
      <name val="Calibri"/>
      <family val="2"/>
      <charset val="1"/>
    </font>
    <font>
      <sz val="10"/>
      <name val="Arial"/>
      <family val="2"/>
      <charset val="1"/>
    </font>
    <font>
      <sz val="11"/>
      <color rgb="FF000000"/>
      <name val="Liberation Sans1"/>
    </font>
    <font>
      <b/>
      <sz val="12"/>
      <color rgb="FF0000FF"/>
      <name val="Calibri"/>
      <family val="2"/>
    </font>
    <font>
      <sz val="11"/>
      <color rgb="FF000000"/>
      <name val="Liberation Sans1"/>
      <charset val="1"/>
    </font>
    <font>
      <sz val="10"/>
      <color rgb="FFFFFFFF"/>
      <name val="Liberation Sans1"/>
      <charset val="1"/>
    </font>
    <font>
      <b/>
      <sz val="10"/>
      <color rgb="FF000000"/>
      <name val="Liberation Sans1"/>
      <charset val="1"/>
    </font>
    <font>
      <sz val="10"/>
      <color rgb="FFCC0000"/>
      <name val="Liberation Sans1"/>
      <charset val="1"/>
    </font>
    <font>
      <b/>
      <sz val="10"/>
      <color rgb="FFFFFFFF"/>
      <name val="Liberation Sans1"/>
      <charset val="1"/>
    </font>
    <font>
      <i/>
      <sz val="10"/>
      <color rgb="FF808080"/>
      <name val="Liberation Sans1"/>
      <charset val="1"/>
    </font>
    <font>
      <sz val="10"/>
      <color rgb="FF006600"/>
      <name val="Liberation Sans1"/>
      <charset val="1"/>
    </font>
    <font>
      <sz val="18"/>
      <color rgb="FF000000"/>
      <name val="Liberation Sans1"/>
      <charset val="1"/>
    </font>
    <font>
      <b/>
      <i/>
      <sz val="16"/>
      <color rgb="FF000000"/>
      <name val="Liberation Sans1"/>
      <charset val="1"/>
    </font>
    <font>
      <sz val="12"/>
      <color rgb="FF000000"/>
      <name val="Liberation Sans1"/>
      <charset val="1"/>
    </font>
    <font>
      <u/>
      <sz val="10"/>
      <color rgb="FF0000EE"/>
      <name val="Liberation Sans1"/>
      <charset val="1"/>
    </font>
    <font>
      <sz val="10"/>
      <color rgb="FF996600"/>
      <name val="Liberation Sans1"/>
      <charset val="1"/>
    </font>
    <font>
      <sz val="10"/>
      <color rgb="FF333333"/>
      <name val="Liberation Sans1"/>
      <charset val="1"/>
    </font>
    <font>
      <b/>
      <i/>
      <u/>
      <sz val="11"/>
      <color rgb="FF000000"/>
      <name val="Liberation Sans1"/>
      <charset val="1"/>
    </font>
    <font>
      <b/>
      <sz val="10"/>
      <name val="Calibri"/>
      <family val="2"/>
    </font>
    <font>
      <b/>
      <sz val="8"/>
      <name val="Calibri"/>
      <family val="2"/>
    </font>
    <font>
      <sz val="12"/>
      <color theme="1"/>
      <name val="Calibri"/>
      <family val="2"/>
      <charset val="1"/>
    </font>
    <font>
      <b/>
      <sz val="11"/>
      <name val="Calibri"/>
      <family val="2"/>
      <charset val="1"/>
    </font>
    <font>
      <b/>
      <sz val="8"/>
      <color theme="1"/>
      <name val="Calibri"/>
      <family val="2"/>
    </font>
    <font>
      <sz val="10"/>
      <color theme="1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FF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theme="2" tint="-9.9978637043366805E-2"/>
        <bgColor rgb="FFFFFFCC"/>
      </patternFill>
    </fill>
    <fill>
      <patternFill patternType="solid">
        <fgColor rgb="FFC0C0C0"/>
        <bgColor rgb="FFC0C0C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FF0000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CCCFF"/>
      </patternFill>
    </fill>
  </fills>
  <borders count="5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24">
    <xf numFmtId="0" fontId="0" fillId="0" borderId="0"/>
    <xf numFmtId="166" fontId="26" fillId="0" borderId="0" applyBorder="0" applyProtection="0"/>
    <xf numFmtId="9" fontId="26" fillId="0" borderId="0" applyBorder="0" applyProtection="0"/>
    <xf numFmtId="0" fontId="27" fillId="0" borderId="0" applyNumberFormat="0" applyFont="0" applyBorder="0" applyProtection="0"/>
    <xf numFmtId="0" fontId="29" fillId="0" borderId="0"/>
    <xf numFmtId="0" fontId="30" fillId="10" borderId="0"/>
    <xf numFmtId="0" fontId="30" fillId="11" borderId="0"/>
    <xf numFmtId="0" fontId="31" fillId="12" borderId="0"/>
    <xf numFmtId="0" fontId="31" fillId="0" borderId="0"/>
    <xf numFmtId="0" fontId="32" fillId="13" borderId="0"/>
    <xf numFmtId="0" fontId="33" fillId="14" borderId="0"/>
    <xf numFmtId="0" fontId="34" fillId="0" borderId="0"/>
    <xf numFmtId="0" fontId="35" fillId="4" borderId="0"/>
    <xf numFmtId="0" fontId="36" fillId="0" borderId="0"/>
    <xf numFmtId="0" fontId="37" fillId="0" borderId="0">
      <alignment horizontal="center"/>
    </xf>
    <xf numFmtId="0" fontId="38" fillId="0" borderId="0"/>
    <xf numFmtId="0" fontId="39" fillId="0" borderId="0"/>
    <xf numFmtId="0" fontId="40" fillId="7" borderId="0"/>
    <xf numFmtId="0" fontId="41" fillId="7" borderId="50"/>
    <xf numFmtId="0" fontId="42" fillId="0" borderId="0"/>
    <xf numFmtId="171" fontId="42" fillId="0" borderId="0"/>
    <xf numFmtId="0" fontId="29" fillId="0" borderId="0"/>
    <xf numFmtId="0" fontId="29" fillId="0" borderId="0"/>
    <xf numFmtId="0" fontId="32" fillId="0" borderId="0"/>
  </cellStyleXfs>
  <cellXfs count="225">
    <xf numFmtId="0" fontId="0" fillId="0" borderId="0" xfId="0"/>
    <xf numFmtId="0" fontId="5" fillId="2" borderId="4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Protection="1">
      <protection locked="0"/>
    </xf>
    <xf numFmtId="0" fontId="1" fillId="2" borderId="5" xfId="0" applyFont="1" applyFill="1" applyBorder="1" applyProtection="1">
      <protection locked="0"/>
    </xf>
    <xf numFmtId="0" fontId="1" fillId="2" borderId="6" xfId="0" applyFont="1" applyFill="1" applyBorder="1" applyProtection="1"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3" fontId="3" fillId="0" borderId="7" xfId="0" applyNumberFormat="1" applyFont="1" applyBorder="1" applyAlignment="1" applyProtection="1">
      <alignment horizontal="center" vertical="center"/>
      <protection locked="0"/>
    </xf>
    <xf numFmtId="164" fontId="3" fillId="0" borderId="7" xfId="0" applyNumberFormat="1" applyFont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/>
      <protection locked="0"/>
    </xf>
    <xf numFmtId="0" fontId="9" fillId="2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/>
    </xf>
    <xf numFmtId="0" fontId="11" fillId="2" borderId="1" xfId="0" applyFont="1" applyFill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64" fontId="1" fillId="2" borderId="1" xfId="1" applyNumberFormat="1" applyFont="1" applyFill="1" applyBorder="1" applyAlignment="1" applyProtection="1">
      <alignment horizontal="center"/>
      <protection locked="0"/>
    </xf>
    <xf numFmtId="0" fontId="1" fillId="2" borderId="1" xfId="0" applyFont="1" applyFill="1" applyBorder="1"/>
    <xf numFmtId="1" fontId="1" fillId="2" borderId="1" xfId="0" applyNumberFormat="1" applyFont="1" applyFill="1" applyBorder="1"/>
    <xf numFmtId="2" fontId="8" fillId="4" borderId="1" xfId="0" applyNumberFormat="1" applyFont="1" applyFill="1" applyBorder="1" applyAlignment="1">
      <alignment horizontal="center"/>
    </xf>
    <xf numFmtId="0" fontId="9" fillId="2" borderId="1" xfId="0" applyFont="1" applyFill="1" applyBorder="1"/>
    <xf numFmtId="164" fontId="1" fillId="2" borderId="1" xfId="1" applyNumberFormat="1" applyFont="1" applyFill="1" applyBorder="1" applyProtection="1"/>
    <xf numFmtId="0" fontId="8" fillId="2" borderId="1" xfId="0" applyFont="1" applyFill="1" applyBorder="1"/>
    <xf numFmtId="2" fontId="1" fillId="2" borderId="1" xfId="0" applyNumberFormat="1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164" fontId="1" fillId="2" borderId="1" xfId="0" applyNumberFormat="1" applyFont="1" applyFill="1" applyBorder="1" applyAlignment="1" applyProtection="1">
      <alignment horizontal="center"/>
      <protection locked="0"/>
    </xf>
    <xf numFmtId="0" fontId="1" fillId="2" borderId="12" xfId="0" applyFont="1" applyFill="1" applyBorder="1" applyProtection="1">
      <protection locked="0"/>
    </xf>
    <xf numFmtId="0" fontId="1" fillId="2" borderId="13" xfId="0" applyFont="1" applyFill="1" applyBorder="1" applyProtection="1">
      <protection locked="0"/>
    </xf>
    <xf numFmtId="0" fontId="4" fillId="2" borderId="0" xfId="0" applyFont="1" applyFill="1" applyProtection="1">
      <protection locked="0"/>
    </xf>
    <xf numFmtId="0" fontId="1" fillId="0" borderId="0" xfId="0" applyFont="1" applyProtection="1">
      <protection locked="0"/>
    </xf>
    <xf numFmtId="0" fontId="8" fillId="2" borderId="15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10" fontId="15" fillId="2" borderId="1" xfId="2" applyNumberFormat="1" applyFont="1" applyFill="1" applyBorder="1" applyAlignment="1" applyProtection="1">
      <alignment horizontal="center"/>
    </xf>
    <xf numFmtId="10" fontId="8" fillId="2" borderId="1" xfId="2" applyNumberFormat="1" applyFont="1" applyFill="1" applyBorder="1" applyAlignment="1" applyProtection="1">
      <alignment horizontal="center"/>
    </xf>
    <xf numFmtId="0" fontId="8" fillId="2" borderId="0" xfId="0" applyFont="1" applyFill="1" applyAlignment="1" applyProtection="1">
      <alignment horizontal="center" vertical="center" wrapText="1"/>
      <protection locked="0"/>
    </xf>
    <xf numFmtId="0" fontId="1" fillId="2" borderId="26" xfId="0" applyFont="1" applyFill="1" applyBorder="1" applyAlignment="1" applyProtection="1">
      <alignment horizontal="center"/>
      <protection locked="0"/>
    </xf>
    <xf numFmtId="0" fontId="1" fillId="2" borderId="12" xfId="0" applyFont="1" applyFill="1" applyBorder="1" applyAlignment="1" applyProtection="1">
      <alignment horizontal="center"/>
      <protection locked="0"/>
    </xf>
    <xf numFmtId="0" fontId="1" fillId="2" borderId="27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7" fillId="2" borderId="14" xfId="0" applyFont="1" applyFill="1" applyBorder="1" applyAlignment="1">
      <alignment horizontal="center"/>
    </xf>
    <xf numFmtId="0" fontId="1" fillId="2" borderId="29" xfId="0" applyFont="1" applyFill="1" applyBorder="1" applyAlignment="1" applyProtection="1">
      <alignment horizontal="center"/>
      <protection locked="0"/>
    </xf>
    <xf numFmtId="0" fontId="1" fillId="2" borderId="9" xfId="0" applyFont="1" applyFill="1" applyBorder="1" applyAlignment="1" applyProtection="1">
      <alignment horizontal="center"/>
      <protection locked="0"/>
    </xf>
    <xf numFmtId="0" fontId="1" fillId="2" borderId="21" xfId="0" applyFont="1" applyFill="1" applyBorder="1" applyAlignment="1" applyProtection="1">
      <alignment horizontal="center"/>
      <protection locked="0"/>
    </xf>
    <xf numFmtId="0" fontId="17" fillId="2" borderId="20" xfId="0" applyFont="1" applyFill="1" applyBorder="1" applyAlignment="1">
      <alignment horizontal="center"/>
    </xf>
    <xf numFmtId="0" fontId="8" fillId="2" borderId="0" xfId="0" applyFont="1" applyFill="1"/>
    <xf numFmtId="10" fontId="8" fillId="2" borderId="2" xfId="2" applyNumberFormat="1" applyFont="1" applyFill="1" applyBorder="1" applyAlignment="1" applyProtection="1">
      <alignment horizontal="center"/>
    </xf>
    <xf numFmtId="0" fontId="8" fillId="2" borderId="0" xfId="0" applyFont="1" applyFill="1" applyAlignment="1">
      <alignment vertical="center"/>
    </xf>
    <xf numFmtId="0" fontId="1" fillId="0" borderId="14" xfId="0" applyFont="1" applyBorder="1" applyAlignment="1" applyProtection="1">
      <alignment horizontal="center"/>
      <protection locked="0"/>
    </xf>
    <xf numFmtId="0" fontId="1" fillId="0" borderId="22" xfId="0" applyFont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2" borderId="32" xfId="0" applyFont="1" applyFill="1" applyBorder="1" applyAlignment="1" applyProtection="1">
      <alignment horizontal="center"/>
      <protection locked="0"/>
    </xf>
    <xf numFmtId="0" fontId="1" fillId="2" borderId="23" xfId="0" applyFont="1" applyFill="1" applyBorder="1" applyAlignment="1" applyProtection="1">
      <alignment horizontal="center"/>
      <protection locked="0"/>
    </xf>
    <xf numFmtId="0" fontId="1" fillId="2" borderId="24" xfId="0" applyFont="1" applyFill="1" applyBorder="1" applyAlignment="1" applyProtection="1">
      <alignment horizontal="center"/>
      <protection locked="0"/>
    </xf>
    <xf numFmtId="0" fontId="1" fillId="2" borderId="33" xfId="0" applyFont="1" applyFill="1" applyBorder="1" applyAlignment="1" applyProtection="1">
      <alignment horizontal="center"/>
      <protection locked="0"/>
    </xf>
    <xf numFmtId="0" fontId="3" fillId="2" borderId="19" xfId="0" applyFont="1" applyFill="1" applyBorder="1" applyAlignment="1">
      <alignment horizontal="center"/>
    </xf>
    <xf numFmtId="0" fontId="4" fillId="2" borderId="0" xfId="0" applyFont="1" applyFill="1" applyAlignment="1" applyProtection="1">
      <alignment vertical="center"/>
      <protection locked="0"/>
    </xf>
    <xf numFmtId="0" fontId="3" fillId="2" borderId="35" xfId="0" applyFont="1" applyFill="1" applyBorder="1" applyAlignment="1" applyProtection="1">
      <alignment horizont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  <xf numFmtId="165" fontId="1" fillId="0" borderId="1" xfId="2" applyNumberFormat="1" applyFont="1" applyBorder="1" applyAlignment="1" applyProtection="1">
      <alignment horizontal="center"/>
      <protection locked="0"/>
    </xf>
    <xf numFmtId="1" fontId="1" fillId="0" borderId="1" xfId="0" applyNumberFormat="1" applyFont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0" xfId="0" applyFont="1" applyFill="1" applyBorder="1" applyAlignment="1" applyProtection="1">
      <alignment horizontal="left"/>
      <protection locked="0"/>
    </xf>
    <xf numFmtId="0" fontId="1" fillId="2" borderId="36" xfId="0" applyFont="1" applyFill="1" applyBorder="1" applyAlignment="1" applyProtection="1">
      <alignment horizontal="left"/>
      <protection locked="0"/>
    </xf>
    <xf numFmtId="0" fontId="1" fillId="0" borderId="36" xfId="0" applyFont="1" applyBorder="1" applyAlignment="1" applyProtection="1">
      <alignment horizontal="center"/>
      <protection locked="0"/>
    </xf>
    <xf numFmtId="0" fontId="1" fillId="2" borderId="12" xfId="0" applyFont="1" applyFill="1" applyBorder="1" applyAlignment="1" applyProtection="1">
      <alignment horizontal="left"/>
      <protection locked="0"/>
    </xf>
    <xf numFmtId="0" fontId="1" fillId="2" borderId="38" xfId="0" applyFont="1" applyFill="1" applyBorder="1" applyAlignment="1" applyProtection="1">
      <alignment horizontal="left"/>
      <protection locked="0"/>
    </xf>
    <xf numFmtId="0" fontId="1" fillId="2" borderId="13" xfId="0" applyFont="1" applyFill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left"/>
      <protection locked="0"/>
    </xf>
    <xf numFmtId="165" fontId="1" fillId="2" borderId="6" xfId="2" applyNumberFormat="1" applyFont="1" applyFill="1" applyBorder="1" applyAlignment="1" applyProtection="1">
      <alignment horizontal="center"/>
      <protection locked="0"/>
    </xf>
    <xf numFmtId="0" fontId="1" fillId="2" borderId="36" xfId="0" applyFont="1" applyFill="1" applyBorder="1" applyProtection="1">
      <protection locked="0"/>
    </xf>
    <xf numFmtId="0" fontId="20" fillId="2" borderId="1" xfId="0" applyFont="1" applyFill="1" applyBorder="1" applyAlignment="1">
      <alignment horizontal="center"/>
    </xf>
    <xf numFmtId="0" fontId="6" fillId="2" borderId="1" xfId="0" applyFont="1" applyFill="1" applyBorder="1" applyAlignment="1" applyProtection="1">
      <alignment horizontal="center"/>
      <protection locked="0"/>
    </xf>
    <xf numFmtId="49" fontId="1" fillId="0" borderId="1" xfId="0" applyNumberFormat="1" applyFont="1" applyBorder="1" applyAlignment="1" applyProtection="1">
      <alignment horizontal="center"/>
      <protection locked="0"/>
    </xf>
    <xf numFmtId="169" fontId="1" fillId="6" borderId="1" xfId="0" applyNumberFormat="1" applyFont="1" applyFill="1" applyBorder="1" applyAlignment="1" applyProtection="1">
      <alignment horizontal="center"/>
      <protection locked="0"/>
    </xf>
    <xf numFmtId="0" fontId="1" fillId="2" borderId="26" xfId="0" applyFont="1" applyFill="1" applyBorder="1" applyProtection="1">
      <protection locked="0"/>
    </xf>
    <xf numFmtId="0" fontId="1" fillId="0" borderId="17" xfId="0" applyFont="1" applyBorder="1" applyAlignment="1" applyProtection="1">
      <alignment horizontal="center"/>
      <protection locked="0"/>
    </xf>
    <xf numFmtId="0" fontId="1" fillId="2" borderId="32" xfId="0" applyFont="1" applyFill="1" applyBorder="1" applyProtection="1">
      <protection locked="0"/>
    </xf>
    <xf numFmtId="1" fontId="1" fillId="0" borderId="37" xfId="0" applyNumberFormat="1" applyFont="1" applyBorder="1" applyAlignment="1" applyProtection="1">
      <alignment horizontal="center"/>
      <protection locked="0"/>
    </xf>
    <xf numFmtId="0" fontId="3" fillId="2" borderId="5" xfId="0" applyFont="1" applyFill="1" applyBorder="1" applyProtection="1">
      <protection locked="0"/>
    </xf>
    <xf numFmtId="3" fontId="8" fillId="2" borderId="40" xfId="0" applyNumberFormat="1" applyFont="1" applyFill="1" applyBorder="1" applyAlignment="1" applyProtection="1">
      <alignment horizontal="center" vertical="center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3" fillId="2" borderId="42" xfId="0" applyFont="1" applyFill="1" applyBorder="1" applyAlignment="1" applyProtection="1">
      <alignment vertical="center"/>
      <protection locked="0"/>
    </xf>
    <xf numFmtId="0" fontId="1" fillId="0" borderId="42" xfId="0" applyFont="1" applyBorder="1" applyAlignment="1" applyProtection="1">
      <alignment horizontal="center" vertical="center"/>
      <protection locked="0"/>
    </xf>
    <xf numFmtId="0" fontId="23" fillId="2" borderId="0" xfId="0" applyFont="1" applyFill="1" applyProtection="1">
      <protection locked="0"/>
    </xf>
    <xf numFmtId="0" fontId="23" fillId="2" borderId="36" xfId="0" applyFont="1" applyFill="1" applyBorder="1" applyAlignment="1" applyProtection="1">
      <alignment vertical="center" wrapText="1"/>
      <protection locked="0"/>
    </xf>
    <xf numFmtId="0" fontId="23" fillId="2" borderId="0" xfId="0" applyFont="1" applyFill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65" fontId="6" fillId="0" borderId="6" xfId="2" applyNumberFormat="1" applyFont="1" applyBorder="1" applyAlignment="1" applyProtection="1">
      <alignment horizontal="center" vertical="center"/>
    </xf>
    <xf numFmtId="0" fontId="3" fillId="2" borderId="7" xfId="0" applyFont="1" applyFill="1" applyBorder="1" applyAlignment="1" applyProtection="1">
      <alignment horizontal="center" vertical="center"/>
      <protection locked="0"/>
    </xf>
    <xf numFmtId="166" fontId="7" fillId="3" borderId="7" xfId="2" applyNumberFormat="1" applyFont="1" applyFill="1" applyBorder="1" applyAlignment="1" applyProtection="1">
      <alignment horizontal="center" vertical="center"/>
    </xf>
    <xf numFmtId="0" fontId="18" fillId="2" borderId="30" xfId="0" applyFont="1" applyFill="1" applyBorder="1" applyAlignment="1" applyProtection="1">
      <alignment horizontal="center"/>
      <protection locked="0"/>
    </xf>
    <xf numFmtId="0" fontId="18" fillId="2" borderId="31" xfId="0" applyFont="1" applyFill="1" applyBorder="1" applyAlignment="1" applyProtection="1">
      <alignment horizontal="center"/>
      <protection locked="0"/>
    </xf>
    <xf numFmtId="0" fontId="6" fillId="15" borderId="0" xfId="0" applyFont="1" applyFill="1" applyAlignment="1" applyProtection="1">
      <alignment horizontal="center" vertical="center" wrapText="1"/>
      <protection locked="0"/>
    </xf>
    <xf numFmtId="168" fontId="1" fillId="16" borderId="0" xfId="0" applyNumberFormat="1" applyFont="1" applyFill="1" applyAlignment="1" applyProtection="1">
      <alignment horizontal="center"/>
      <protection locked="0"/>
    </xf>
    <xf numFmtId="0" fontId="1" fillId="16" borderId="0" xfId="0" applyFont="1" applyFill="1" applyAlignment="1" applyProtection="1">
      <alignment horizontal="center"/>
      <protection locked="0"/>
    </xf>
    <xf numFmtId="0" fontId="1" fillId="17" borderId="0" xfId="0" applyFont="1" applyFill="1" applyAlignment="1" applyProtection="1">
      <alignment horizontal="center"/>
      <protection locked="0"/>
    </xf>
    <xf numFmtId="0" fontId="4" fillId="8" borderId="0" xfId="0" applyFont="1" applyFill="1" applyAlignment="1" applyProtection="1">
      <alignment horizontal="center"/>
      <protection locked="0"/>
    </xf>
    <xf numFmtId="0" fontId="8" fillId="2" borderId="40" xfId="0" applyFont="1" applyFill="1" applyBorder="1" applyAlignment="1" applyProtection="1">
      <alignment horizontal="center" vertical="center"/>
      <protection locked="0"/>
    </xf>
    <xf numFmtId="0" fontId="8" fillId="3" borderId="38" xfId="0" applyFont="1" applyFill="1" applyBorder="1" applyAlignment="1">
      <alignment horizontal="center" vertical="center"/>
    </xf>
    <xf numFmtId="3" fontId="3" fillId="0" borderId="0" xfId="0" applyNumberFormat="1" applyFont="1" applyAlignment="1" applyProtection="1">
      <alignment vertical="center"/>
      <protection locked="0"/>
    </xf>
    <xf numFmtId="0" fontId="43" fillId="8" borderId="1" xfId="0" applyFont="1" applyFill="1" applyBorder="1" applyAlignment="1" applyProtection="1">
      <alignment horizontal="center" vertical="center" wrapText="1"/>
      <protection locked="0"/>
    </xf>
    <xf numFmtId="1" fontId="43" fillId="5" borderId="1" xfId="0" applyNumberFormat="1" applyFont="1" applyFill="1" applyBorder="1" applyAlignment="1" applyProtection="1">
      <alignment horizontal="center"/>
      <protection locked="0"/>
    </xf>
    <xf numFmtId="1" fontId="43" fillId="5" borderId="37" xfId="0" applyNumberFormat="1" applyFont="1" applyFill="1" applyBorder="1" applyAlignment="1" applyProtection="1">
      <alignment horizontal="center"/>
      <protection locked="0"/>
    </xf>
    <xf numFmtId="0" fontId="22" fillId="2" borderId="1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45" fillId="0" borderId="7" xfId="0" applyFont="1" applyBorder="1" applyAlignment="1" applyProtection="1">
      <alignment horizontal="center" vertical="center"/>
      <protection locked="0"/>
    </xf>
    <xf numFmtId="0" fontId="47" fillId="8" borderId="1" xfId="0" applyFont="1" applyFill="1" applyBorder="1" applyAlignment="1" applyProtection="1">
      <alignment horizontal="center"/>
      <protection locked="0"/>
    </xf>
    <xf numFmtId="0" fontId="47" fillId="8" borderId="4" xfId="0" applyFont="1" applyFill="1" applyBorder="1" applyAlignment="1" applyProtection="1">
      <alignment horizontal="center"/>
      <protection locked="0"/>
    </xf>
    <xf numFmtId="170" fontId="3" fillId="2" borderId="6" xfId="0" applyNumberFormat="1" applyFont="1" applyFill="1" applyBorder="1" applyAlignment="1" applyProtection="1">
      <alignment vertical="center"/>
      <protection locked="0"/>
    </xf>
    <xf numFmtId="165" fontId="6" fillId="0" borderId="6" xfId="2" applyNumberFormat="1" applyFont="1" applyBorder="1" applyAlignment="1" applyProtection="1">
      <alignment vertical="center"/>
    </xf>
    <xf numFmtId="0" fontId="2" fillId="2" borderId="1" xfId="0" applyFont="1" applyFill="1" applyBorder="1" applyAlignment="1" applyProtection="1">
      <alignment horizont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5" fillId="2" borderId="4" xfId="0" applyFont="1" applyFill="1" applyBorder="1" applyAlignment="1" applyProtection="1">
      <alignment horizontal="center" vertical="center"/>
      <protection locked="0"/>
    </xf>
    <xf numFmtId="0" fontId="4" fillId="8" borderId="5" xfId="0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9" fontId="8" fillId="2" borderId="1" xfId="0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45" xfId="0" applyFont="1" applyFill="1" applyBorder="1" applyAlignment="1" applyProtection="1">
      <alignment horizontal="center" vertical="center"/>
      <protection locked="0"/>
    </xf>
    <xf numFmtId="0" fontId="3" fillId="0" borderId="46" xfId="0" applyFont="1" applyBorder="1" applyAlignment="1" applyProtection="1">
      <alignment horizontal="center" vertical="center"/>
      <protection locked="0"/>
    </xf>
    <xf numFmtId="0" fontId="3" fillId="0" borderId="47" xfId="0" applyFont="1" applyBorder="1" applyAlignment="1" applyProtection="1">
      <alignment horizontal="center" vertical="center"/>
      <protection locked="0"/>
    </xf>
    <xf numFmtId="0" fontId="3" fillId="0" borderId="40" xfId="0" applyFont="1" applyBorder="1" applyAlignment="1" applyProtection="1">
      <alignment horizontal="center" vertical="center"/>
      <protection locked="0"/>
    </xf>
    <xf numFmtId="170" fontId="3" fillId="2" borderId="46" xfId="0" applyNumberFormat="1" applyFont="1" applyFill="1" applyBorder="1" applyAlignment="1" applyProtection="1">
      <alignment horizontal="center" vertical="center"/>
      <protection locked="0"/>
    </xf>
    <xf numFmtId="170" fontId="3" fillId="2" borderId="40" xfId="0" applyNumberFormat="1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3" fillId="2" borderId="46" xfId="0" applyFont="1" applyFill="1" applyBorder="1" applyAlignment="1" applyProtection="1">
      <alignment horizontal="center" vertical="center"/>
      <protection locked="0"/>
    </xf>
    <xf numFmtId="0" fontId="3" fillId="2" borderId="40" xfId="0" applyFont="1" applyFill="1" applyBorder="1" applyAlignment="1" applyProtection="1">
      <alignment horizontal="center" vertical="center"/>
      <protection locked="0"/>
    </xf>
    <xf numFmtId="0" fontId="3" fillId="2" borderId="44" xfId="0" applyFont="1" applyFill="1" applyBorder="1" applyAlignment="1" applyProtection="1">
      <alignment horizontal="center" vertical="center"/>
      <protection locked="0"/>
    </xf>
    <xf numFmtId="165" fontId="48" fillId="0" borderId="46" xfId="2" applyNumberFormat="1" applyFont="1" applyBorder="1" applyAlignment="1" applyProtection="1">
      <alignment horizontal="center" vertical="center"/>
    </xf>
    <xf numFmtId="165" fontId="48" fillId="0" borderId="40" xfId="2" applyNumberFormat="1" applyFont="1" applyBorder="1" applyAlignment="1" applyProtection="1">
      <alignment horizontal="center" vertical="center"/>
    </xf>
    <xf numFmtId="0" fontId="8" fillId="2" borderId="1" xfId="0" applyFont="1" applyFill="1" applyBorder="1" applyAlignment="1">
      <alignment horizontal="center"/>
    </xf>
    <xf numFmtId="2" fontId="8" fillId="2" borderId="1" xfId="0" applyNumberFormat="1" applyFont="1" applyFill="1" applyBorder="1" applyAlignment="1">
      <alignment horizontal="center"/>
    </xf>
    <xf numFmtId="0" fontId="28" fillId="9" borderId="48" xfId="3" applyFont="1" applyFill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center" vertical="center"/>
    </xf>
    <xf numFmtId="167" fontId="8" fillId="2" borderId="1" xfId="0" applyNumberFormat="1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 applyProtection="1">
      <alignment horizontal="center" vertical="center"/>
      <protection locked="0"/>
    </xf>
    <xf numFmtId="0" fontId="8" fillId="3" borderId="16" xfId="0" applyFont="1" applyFill="1" applyBorder="1" applyAlignment="1">
      <alignment horizontal="center" vertical="center"/>
    </xf>
    <xf numFmtId="0" fontId="8" fillId="3" borderId="53" xfId="0" applyFont="1" applyFill="1" applyBorder="1" applyAlignment="1">
      <alignment horizontal="center" vertical="center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3" fillId="2" borderId="20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4" fillId="8" borderId="12" xfId="0" applyFont="1" applyFill="1" applyBorder="1" applyAlignment="1" applyProtection="1">
      <alignment horizontal="center"/>
      <protection locked="0"/>
    </xf>
    <xf numFmtId="0" fontId="4" fillId="8" borderId="38" xfId="0" applyFont="1" applyFill="1" applyBorder="1" applyAlignment="1" applyProtection="1">
      <alignment horizontal="center"/>
      <protection locked="0"/>
    </xf>
    <xf numFmtId="0" fontId="4" fillId="8" borderId="49" xfId="0" applyFont="1" applyFill="1" applyBorder="1" applyAlignment="1" applyProtection="1">
      <alignment horizontal="center"/>
      <protection locked="0"/>
    </xf>
    <xf numFmtId="0" fontId="8" fillId="2" borderId="8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/>
    </xf>
    <xf numFmtId="0" fontId="8" fillId="2" borderId="52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5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/>
    </xf>
    <xf numFmtId="0" fontId="8" fillId="3" borderId="54" xfId="0" applyFont="1" applyFill="1" applyBorder="1" applyAlignment="1">
      <alignment horizontal="center"/>
    </xf>
    <xf numFmtId="0" fontId="12" fillId="2" borderId="2" xfId="0" applyFont="1" applyFill="1" applyBorder="1" applyAlignment="1" applyProtection="1">
      <alignment horizontal="center" vertical="center"/>
      <protection locked="0"/>
    </xf>
    <xf numFmtId="0" fontId="14" fillId="2" borderId="20" xfId="0" applyFont="1" applyFill="1" applyBorder="1" applyAlignment="1">
      <alignment horizontal="center" vertical="center"/>
    </xf>
    <xf numFmtId="0" fontId="8" fillId="2" borderId="8" xfId="0" applyFont="1" applyFill="1" applyBorder="1" applyAlignment="1" applyProtection="1">
      <alignment horizontal="center" vertical="center" wrapText="1"/>
      <protection locked="0"/>
    </xf>
    <xf numFmtId="0" fontId="8" fillId="2" borderId="25" xfId="0" applyFont="1" applyFill="1" applyBorder="1" applyAlignment="1" applyProtection="1">
      <alignment horizontal="center" vertical="center"/>
      <protection locked="0"/>
    </xf>
    <xf numFmtId="0" fontId="8" fillId="2" borderId="7" xfId="0" applyFont="1" applyFill="1" applyBorder="1" applyAlignment="1" applyProtection="1">
      <alignment horizontal="center" vertical="center" wrapText="1"/>
      <protection locked="0"/>
    </xf>
    <xf numFmtId="0" fontId="3" fillId="2" borderId="22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/>
      <protection locked="0"/>
    </xf>
    <xf numFmtId="0" fontId="4" fillId="8" borderId="0" xfId="0" applyFont="1" applyFill="1" applyAlignment="1" applyProtection="1">
      <alignment horizontal="center" vertical="center"/>
      <protection locked="0"/>
    </xf>
    <xf numFmtId="9" fontId="19" fillId="0" borderId="1" xfId="2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43" fillId="8" borderId="2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left"/>
      <protection locked="0"/>
    </xf>
    <xf numFmtId="0" fontId="4" fillId="8" borderId="6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44" fillId="2" borderId="1" xfId="0" applyFont="1" applyFill="1" applyBorder="1" applyAlignment="1" applyProtection="1">
      <alignment horizontal="center"/>
      <protection locked="0"/>
    </xf>
    <xf numFmtId="20" fontId="44" fillId="0" borderId="1" xfId="0" applyNumberFormat="1" applyFont="1" applyBorder="1" applyAlignment="1" applyProtection="1">
      <alignment vertical="center"/>
      <protection locked="0"/>
    </xf>
    <xf numFmtId="20" fontId="44" fillId="0" borderId="2" xfId="0" applyNumberFormat="1" applyFont="1" applyBorder="1" applyAlignment="1" applyProtection="1">
      <alignment vertical="center"/>
      <protection locked="0"/>
    </xf>
    <xf numFmtId="0" fontId="44" fillId="2" borderId="9" xfId="0" applyFont="1" applyFill="1" applyBorder="1" applyAlignment="1" applyProtection="1">
      <alignment horizontal="center"/>
      <protection locked="0"/>
    </xf>
    <xf numFmtId="169" fontId="44" fillId="7" borderId="39" xfId="0" applyNumberFormat="1" applyFont="1" applyFill="1" applyBorder="1" applyAlignment="1" applyProtection="1">
      <alignment vertical="center"/>
      <protection locked="0"/>
    </xf>
    <xf numFmtId="0" fontId="1" fillId="2" borderId="10" xfId="0" applyFont="1" applyFill="1" applyBorder="1" applyAlignment="1" applyProtection="1">
      <alignment horizontal="left"/>
      <protection locked="0"/>
    </xf>
    <xf numFmtId="0" fontId="4" fillId="8" borderId="13" xfId="0" applyFont="1" applyFill="1" applyBorder="1" applyAlignment="1" applyProtection="1">
      <alignment horizontal="center"/>
      <protection locked="0"/>
    </xf>
    <xf numFmtId="0" fontId="4" fillId="8" borderId="1" xfId="0" applyFont="1" applyFill="1" applyBorder="1" applyAlignment="1" applyProtection="1">
      <alignment horizontal="center" vertical="top"/>
      <protection locked="0"/>
    </xf>
    <xf numFmtId="0" fontId="3" fillId="2" borderId="34" xfId="0" applyFont="1" applyFill="1" applyBorder="1" applyAlignment="1" applyProtection="1">
      <alignment horizontal="left" vertical="center"/>
      <protection locked="0"/>
    </xf>
    <xf numFmtId="0" fontId="3" fillId="2" borderId="43" xfId="0" applyFont="1" applyFill="1" applyBorder="1" applyAlignment="1" applyProtection="1">
      <alignment horizontal="left" vertical="center"/>
      <protection locked="0"/>
    </xf>
    <xf numFmtId="0" fontId="3" fillId="2" borderId="23" xfId="0" applyFont="1" applyFill="1" applyBorder="1" applyAlignment="1" applyProtection="1">
      <alignment horizontal="center" vertical="center"/>
      <protection locked="0"/>
    </xf>
    <xf numFmtId="0" fontId="3" fillId="2" borderId="58" xfId="0" applyFont="1" applyFill="1" applyBorder="1" applyAlignment="1" applyProtection="1">
      <alignment horizontal="center" vertical="center"/>
      <protection locked="0"/>
    </xf>
    <xf numFmtId="0" fontId="3" fillId="2" borderId="31" xfId="0" applyFont="1" applyFill="1" applyBorder="1" applyAlignment="1" applyProtection="1">
      <alignment horizontal="center" vertical="center"/>
      <protection locked="0"/>
    </xf>
    <xf numFmtId="0" fontId="3" fillId="2" borderId="22" xfId="0" applyFont="1" applyFill="1" applyBorder="1" applyAlignment="1" applyProtection="1">
      <alignment horizontal="left" vertical="center"/>
      <protection locked="0"/>
    </xf>
    <xf numFmtId="0" fontId="25" fillId="2" borderId="42" xfId="0" applyFont="1" applyFill="1" applyBorder="1" applyAlignment="1" applyProtection="1">
      <alignment horizontal="center" vertical="center"/>
      <protection locked="0"/>
    </xf>
    <xf numFmtId="0" fontId="6" fillId="2" borderId="36" xfId="0" applyFont="1" applyFill="1" applyBorder="1" applyAlignment="1" applyProtection="1">
      <alignment horizontal="left" vertical="center" wrapText="1"/>
      <protection locked="0"/>
    </xf>
    <xf numFmtId="0" fontId="6" fillId="2" borderId="36" xfId="0" applyFont="1" applyFill="1" applyBorder="1" applyAlignment="1" applyProtection="1">
      <alignment horizontal="right" vertical="center" wrapText="1"/>
      <protection locked="0"/>
    </xf>
    <xf numFmtId="0" fontId="44" fillId="2" borderId="9" xfId="0" applyFont="1" applyFill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left" vertical="top" wrapText="1"/>
      <protection locked="0"/>
    </xf>
    <xf numFmtId="0" fontId="46" fillId="2" borderId="55" xfId="0" applyFont="1" applyFill="1" applyBorder="1" applyAlignment="1" applyProtection="1">
      <alignment horizontal="center"/>
      <protection locked="0"/>
    </xf>
    <xf numFmtId="0" fontId="46" fillId="2" borderId="33" xfId="0" applyFont="1" applyFill="1" applyBorder="1" applyAlignment="1" applyProtection="1">
      <alignment horizontal="center"/>
      <protection locked="0"/>
    </xf>
    <xf numFmtId="0" fontId="46" fillId="2" borderId="56" xfId="0" applyFont="1" applyFill="1" applyBorder="1" applyAlignment="1" applyProtection="1">
      <alignment horizontal="center"/>
      <protection locked="0"/>
    </xf>
    <xf numFmtId="0" fontId="46" fillId="2" borderId="5" xfId="0" applyFont="1" applyFill="1" applyBorder="1" applyAlignment="1" applyProtection="1">
      <alignment horizontal="center"/>
      <protection locked="0"/>
    </xf>
    <xf numFmtId="0" fontId="46" fillId="2" borderId="0" xfId="0" applyFont="1" applyFill="1" applyAlignment="1" applyProtection="1">
      <alignment horizontal="center"/>
      <protection locked="0"/>
    </xf>
    <xf numFmtId="0" fontId="46" fillId="2" borderId="45" xfId="0" applyFont="1" applyFill="1" applyBorder="1" applyAlignment="1" applyProtection="1">
      <alignment horizontal="center"/>
      <protection locked="0"/>
    </xf>
    <xf numFmtId="0" fontId="8" fillId="2" borderId="7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4" fillId="0" borderId="42" xfId="0" applyFont="1" applyBorder="1" applyAlignment="1" applyProtection="1">
      <alignment horizontal="center" vertical="center"/>
      <protection locked="0"/>
    </xf>
    <xf numFmtId="0" fontId="3" fillId="2" borderId="52" xfId="0" applyFont="1" applyFill="1" applyBorder="1" applyAlignment="1" applyProtection="1">
      <alignment horizontal="center" vertical="center"/>
      <protection locked="0"/>
    </xf>
    <xf numFmtId="0" fontId="3" fillId="2" borderId="57" xfId="0" applyFont="1" applyFill="1" applyBorder="1" applyAlignment="1" applyProtection="1">
      <alignment horizontal="center" vertical="center"/>
      <protection locked="0"/>
    </xf>
    <xf numFmtId="0" fontId="3" fillId="2" borderId="30" xfId="0" applyFont="1" applyFill="1" applyBorder="1" applyAlignment="1" applyProtection="1">
      <alignment horizontal="center" vertical="center"/>
      <protection locked="0"/>
    </xf>
    <xf numFmtId="0" fontId="2" fillId="0" borderId="14" xfId="0" applyFont="1" applyBorder="1" applyAlignment="1" applyProtection="1">
      <alignment horizontal="center" vertical="center"/>
      <protection locked="0"/>
    </xf>
  </cellXfs>
  <cellStyles count="24">
    <cellStyle name="Accent 1 5" xfId="5" xr:uid="{AB974F6D-0F60-44D6-8A17-49F4461D288B}"/>
    <cellStyle name="Accent 2 6" xfId="6" xr:uid="{0740EFEB-9C31-449E-B930-69D0CA4724E6}"/>
    <cellStyle name="Accent 3 7" xfId="7" xr:uid="{323A2454-184D-4351-A3D2-D6216D1DC484}"/>
    <cellStyle name="Accent 4" xfId="8" xr:uid="{9F036736-0DA5-4735-9E2C-5AF23A81ADE3}"/>
    <cellStyle name="Bad 8" xfId="9" xr:uid="{F8592B0A-AD11-4B29-8B79-8685196AC912}"/>
    <cellStyle name="Error 9" xfId="10" xr:uid="{28543B3D-982D-450E-B698-2914994786CA}"/>
    <cellStyle name="Footnote 10" xfId="11" xr:uid="{3C895E6F-8013-4CCA-AF8C-E8D83CECC9F3}"/>
    <cellStyle name="Good 11" xfId="12" xr:uid="{4EA78A5E-D3A6-4E09-9160-9B60FA67E35F}"/>
    <cellStyle name="Heading 1 13" xfId="13" xr:uid="{8B15CF9C-2C08-4464-9857-3742582D1A32}"/>
    <cellStyle name="Heading 12" xfId="14" xr:uid="{475192C1-DB77-4265-8D42-163650E1BE0F}"/>
    <cellStyle name="Heading 2 14" xfId="15" xr:uid="{3F6D0B8D-968D-49F6-8767-469F537EF0FC}"/>
    <cellStyle name="Hyperlink 15" xfId="16" xr:uid="{302B204A-F36E-4EF9-B121-0F6FF677F7AE}"/>
    <cellStyle name="Neutral 16" xfId="17" xr:uid="{04B4F4BD-2236-4A39-ABF2-007DF19367DE}"/>
    <cellStyle name="Normal" xfId="0" builtinId="0"/>
    <cellStyle name="Normal 2" xfId="3" xr:uid="{BFF1F0B9-6112-48C3-9B01-F52FC7D8DA29}"/>
    <cellStyle name="Normal 3" xfId="4" xr:uid="{5332DB86-0F68-47AF-B83B-9420A7832927}"/>
    <cellStyle name="Note 17" xfId="18" xr:uid="{37ABE4D3-293C-465F-9836-E32A22C32B82}"/>
    <cellStyle name="Porcentagem" xfId="2" builtinId="5"/>
    <cellStyle name="Result 18" xfId="19" xr:uid="{D8D83BED-D01D-4189-8E45-77C10F67AA76}"/>
    <cellStyle name="Resultado2" xfId="20" xr:uid="{23387111-BB15-45CF-865F-1C92D2D11ECB}"/>
    <cellStyle name="Status 19" xfId="21" xr:uid="{CC2033D4-CB5D-492C-9C48-6ECCC8FB1CE8}"/>
    <cellStyle name="Text 20" xfId="22" xr:uid="{DA2275AD-0F95-461C-8BF3-C4023ECB8B87}"/>
    <cellStyle name="Vírgula" xfId="1" builtinId="3"/>
    <cellStyle name="Warning 21" xfId="23" xr:uid="{7CA38E26-5EDE-4F57-A9AA-EE4F2716354D}"/>
  </cellStyles>
  <dxfs count="24">
    <dxf>
      <font>
        <b/>
        <i val="0"/>
        <strike val="0"/>
        <color rgb="FF993300"/>
      </font>
      <fill>
        <patternFill>
          <bgColor theme="5" tint="0.79998168889431442"/>
        </patternFill>
      </fill>
    </dxf>
    <dxf>
      <font>
        <b/>
        <color rgb="FF993300"/>
        <family val="2"/>
      </font>
      <fill>
        <patternFill patternType="none"/>
      </fill>
    </dxf>
    <dxf>
      <font>
        <color rgb="FFFFFFFF"/>
        <family val="2"/>
      </font>
      <fill>
        <patternFill patternType="solid">
          <fgColor rgb="FF00B050"/>
          <bgColor rgb="FF00B050"/>
        </patternFill>
      </fill>
    </dxf>
    <dxf>
      <font>
        <color rgb="FFFFFFFF"/>
        <family val="2"/>
      </font>
      <fill>
        <patternFill patternType="solid">
          <fgColor rgb="FFFF0000"/>
          <bgColor rgb="FFFF0000"/>
        </patternFill>
      </fill>
    </dxf>
    <dxf>
      <font>
        <b/>
        <color rgb="FF993300"/>
        <family val="2"/>
      </font>
      <fill>
        <patternFill patternType="none"/>
      </fill>
    </dxf>
    <dxf>
      <font>
        <color rgb="FFFFFFFF"/>
        <family val="2"/>
      </font>
      <fill>
        <patternFill patternType="solid">
          <fgColor rgb="FF00B050"/>
          <bgColor rgb="FF00B050"/>
        </patternFill>
      </fill>
    </dxf>
    <dxf>
      <font>
        <color rgb="FFFFFFFF"/>
        <family val="2"/>
      </font>
      <fill>
        <patternFill patternType="solid">
          <fgColor rgb="FFFF0000"/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strike val="0"/>
        <color rgb="FF993300"/>
      </font>
    </dxf>
    <dxf>
      <font>
        <b/>
        <i val="0"/>
        <strike val="0"/>
        <color rgb="FF993300"/>
      </font>
      <fill>
        <patternFill>
          <bgColor theme="5" tint="0.79998168889431442"/>
        </patternFill>
      </fill>
    </dxf>
    <dxf>
      <font>
        <b/>
        <color rgb="FF993300"/>
        <family val="2"/>
      </font>
      <fill>
        <patternFill patternType="none"/>
      </fill>
    </dxf>
    <dxf>
      <font>
        <color rgb="FFFFFFFF"/>
        <family val="2"/>
      </font>
      <fill>
        <patternFill patternType="solid">
          <fgColor rgb="FF00B050"/>
          <bgColor rgb="FF00B050"/>
        </patternFill>
      </fill>
    </dxf>
    <dxf>
      <font>
        <color rgb="FFFFFFFF"/>
        <family val="2"/>
      </font>
      <fill>
        <patternFill patternType="solid">
          <fgColor rgb="FFFF0000"/>
          <bgColor rgb="FFFF0000"/>
        </patternFill>
      </fill>
    </dxf>
    <dxf>
      <font>
        <b/>
        <color rgb="FF993300"/>
        <family val="2"/>
      </font>
      <fill>
        <patternFill patternType="none"/>
      </fill>
    </dxf>
    <dxf>
      <font>
        <color rgb="FFFFFFFF"/>
        <family val="2"/>
      </font>
      <fill>
        <patternFill patternType="solid">
          <fgColor rgb="FF00B050"/>
          <bgColor rgb="FF00B050"/>
        </patternFill>
      </fill>
    </dxf>
    <dxf>
      <font>
        <color rgb="FFFFFFFF"/>
        <family val="2"/>
      </font>
      <fill>
        <patternFill patternType="solid">
          <fgColor rgb="FFFF0000"/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strike val="0"/>
        <color rgb="FF9933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2060"/>
      <rgbColor rgb="FF808000"/>
      <rgbColor rgb="FF800080"/>
      <rgbColor rgb="FF0070C0"/>
      <rgbColor rgb="FFC0C0C0"/>
      <rgbColor rgb="FF808080"/>
      <rgbColor rgb="FF9999FF"/>
      <rgbColor rgb="FFC9211E"/>
      <rgbColor rgb="FFFFFF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8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pt-BR" sz="800" b="1" strike="noStrike" spc="-1">
                <a:solidFill>
                  <a:srgbClr val="000000"/>
                </a:solidFill>
                <a:latin typeface="Arial"/>
                <a:ea typeface="Arial"/>
              </a:rPr>
              <a:t>Curva da População</a:t>
            </a:r>
          </a:p>
        </c:rich>
      </c:tx>
      <c:layout>
        <c:manualLayout>
          <c:xMode val="edge"/>
          <c:yMode val="edge"/>
          <c:x val="0.33444504909632666"/>
          <c:y val="1.6262350342903638E-2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035930383475849"/>
          <c:y val="5.1910186369096049E-2"/>
          <c:w val="0.75104091524608629"/>
          <c:h val="0.870151303808748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CLIENTE!$B$11:$B$11</c:f>
              <c:strCache>
                <c:ptCount val="1"/>
                <c:pt idx="0">
                  <c:v>FREQ.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CLIENTE!$A$12:$A$43</c:f>
              <c:numCache>
                <c:formatCode>General</c:formatCode>
                <c:ptCount val="32"/>
                <c:pt idx="0">
                  <c:v>3910</c:v>
                </c:pt>
                <c:pt idx="1">
                  <c:v>3990</c:v>
                </c:pt>
                <c:pt idx="2">
                  <c:v>4070</c:v>
                </c:pt>
                <c:pt idx="3">
                  <c:v>4150</c:v>
                </c:pt>
                <c:pt idx="4">
                  <c:v>4230</c:v>
                </c:pt>
                <c:pt idx="5">
                  <c:v>4310</c:v>
                </c:pt>
                <c:pt idx="6">
                  <c:v>4390</c:v>
                </c:pt>
                <c:pt idx="7">
                  <c:v>4470</c:v>
                </c:pt>
                <c:pt idx="8">
                  <c:v>4550</c:v>
                </c:pt>
                <c:pt idx="9">
                  <c:v>4630</c:v>
                </c:pt>
                <c:pt idx="10">
                  <c:v>4710</c:v>
                </c:pt>
                <c:pt idx="11">
                  <c:v>4790</c:v>
                </c:pt>
                <c:pt idx="12">
                  <c:v>4870</c:v>
                </c:pt>
                <c:pt idx="13">
                  <c:v>4950</c:v>
                </c:pt>
                <c:pt idx="14">
                  <c:v>5030</c:v>
                </c:pt>
                <c:pt idx="15">
                  <c:v>5110</c:v>
                </c:pt>
                <c:pt idx="16">
                  <c:v>5190</c:v>
                </c:pt>
                <c:pt idx="17">
                  <c:v>5270</c:v>
                </c:pt>
                <c:pt idx="18">
                  <c:v>5350</c:v>
                </c:pt>
                <c:pt idx="19">
                  <c:v>5430</c:v>
                </c:pt>
                <c:pt idx="20">
                  <c:v>5510</c:v>
                </c:pt>
                <c:pt idx="21">
                  <c:v>5590</c:v>
                </c:pt>
                <c:pt idx="22">
                  <c:v>5670</c:v>
                </c:pt>
                <c:pt idx="23">
                  <c:v>5750</c:v>
                </c:pt>
                <c:pt idx="24">
                  <c:v>5830</c:v>
                </c:pt>
                <c:pt idx="25">
                  <c:v>5910</c:v>
                </c:pt>
                <c:pt idx="26">
                  <c:v>5990</c:v>
                </c:pt>
                <c:pt idx="27">
                  <c:v>6070</c:v>
                </c:pt>
                <c:pt idx="28">
                  <c:v>6150</c:v>
                </c:pt>
                <c:pt idx="29">
                  <c:v>6230</c:v>
                </c:pt>
                <c:pt idx="30">
                  <c:v>6310</c:v>
                </c:pt>
                <c:pt idx="31">
                  <c:v>6000</c:v>
                </c:pt>
              </c:numCache>
            </c:numRef>
          </c:cat>
          <c:val>
            <c:numRef>
              <c:f>CLIENTE!$B$21:$B$43</c:f>
              <c:numCache>
                <c:formatCode>General</c:formatCode>
                <c:ptCount val="23"/>
              </c:numCache>
            </c:numRef>
          </c:val>
          <c:extLst>
            <c:ext xmlns:c16="http://schemas.microsoft.com/office/drawing/2014/chart" uri="{C3380CC4-5D6E-409C-BE32-E72D297353CC}">
              <c16:uniqueId val="{00000000-3E3D-4DD1-B0D4-93EB13903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632468"/>
        <c:axId val="32884264"/>
      </c:barChart>
      <c:catAx>
        <c:axId val="9863246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pt-BR" sz="8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pt-BR" sz="8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Peso</a:t>
                </a:r>
              </a:p>
            </c:rich>
          </c:tx>
          <c:layout>
            <c:manualLayout>
              <c:xMode val="edge"/>
              <c:yMode val="edge"/>
              <c:x val="4.8687986879868798E-2"/>
              <c:y val="0.44043868860109697"/>
            </c:manualLayout>
          </c:layout>
          <c:overlay val="0"/>
          <c:spPr>
            <a:noFill/>
            <a:ln w="2556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pt-BR"/>
          </a:p>
        </c:txPr>
        <c:crossAx val="32884264"/>
        <c:crosses val="autoZero"/>
        <c:auto val="1"/>
        <c:lblAlgn val="ctr"/>
        <c:lblOffset val="100"/>
        <c:noMultiLvlLbl val="0"/>
      </c:catAx>
      <c:valAx>
        <c:axId val="32884264"/>
        <c:scaling>
          <c:orientation val="minMax"/>
          <c:max val="15"/>
        </c:scaling>
        <c:delete val="0"/>
        <c:axPos val="b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pt-BR" sz="8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pt-BR" sz="8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Nº Pintos</a:t>
                </a:r>
              </a:p>
            </c:rich>
          </c:tx>
          <c:layout>
            <c:manualLayout>
              <c:xMode val="edge"/>
              <c:yMode val="edge"/>
              <c:x val="0.46936819502976151"/>
              <c:y val="0.93794684024952557"/>
            </c:manualLayout>
          </c:layout>
          <c:overlay val="0"/>
          <c:spPr>
            <a:noFill/>
            <a:ln w="2556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pt-BR"/>
          </a:p>
        </c:txPr>
        <c:crossAx val="98632468"/>
        <c:crosses val="autoZero"/>
        <c:crossBetween val="between"/>
        <c:majorUnit val="5"/>
      </c:valAx>
      <c:spPr>
        <a:noFill/>
        <a:ln w="3240">
          <a:solidFill>
            <a:srgbClr val="000000"/>
          </a:solidFill>
          <a:round/>
        </a:ln>
      </c:spPr>
    </c:plotArea>
    <c:plotVisOnly val="1"/>
    <c:dispBlanksAs val="gap"/>
    <c:showDLblsOverMax val="1"/>
  </c:chart>
  <c:spPr>
    <a:solidFill>
      <a:srgbClr val="FFFFFF"/>
    </a:solidFill>
    <a:ln w="3240">
      <a:solidFill>
        <a:srgbClr val="000000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pt-BR" sz="8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pt-BR" sz="800" b="1" strike="noStrike" spc="-1">
                <a:solidFill>
                  <a:srgbClr val="000000"/>
                </a:solidFill>
                <a:latin typeface="Arial"/>
                <a:ea typeface="Arial"/>
              </a:rPr>
              <a:t>Curva da População</a:t>
            </a:r>
          </a:p>
        </c:rich>
      </c:tx>
      <c:layout>
        <c:manualLayout>
          <c:xMode val="edge"/>
          <c:yMode val="edge"/>
          <c:x val="0.33444504909632666"/>
          <c:y val="1.6262350342903638E-2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035930383475849"/>
          <c:y val="5.1910186369096049E-2"/>
          <c:w val="0.75104091524608629"/>
          <c:h val="0.870151303808748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CIALNE!$B$11</c:f>
              <c:strCache>
                <c:ptCount val="1"/>
                <c:pt idx="0">
                  <c:v>FREQ.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CIALNE!$A$12:$A$43</c:f>
              <c:numCache>
                <c:formatCode>General</c:formatCode>
                <c:ptCount val="32"/>
                <c:pt idx="0">
                  <c:v>4450</c:v>
                </c:pt>
                <c:pt idx="1">
                  <c:v>4550</c:v>
                </c:pt>
                <c:pt idx="2">
                  <c:v>4650</c:v>
                </c:pt>
                <c:pt idx="3">
                  <c:v>4750</c:v>
                </c:pt>
                <c:pt idx="4">
                  <c:v>4850</c:v>
                </c:pt>
                <c:pt idx="5">
                  <c:v>4950</c:v>
                </c:pt>
                <c:pt idx="6">
                  <c:v>5050</c:v>
                </c:pt>
                <c:pt idx="7">
                  <c:v>5150</c:v>
                </c:pt>
                <c:pt idx="8">
                  <c:v>5250</c:v>
                </c:pt>
                <c:pt idx="9">
                  <c:v>5350</c:v>
                </c:pt>
                <c:pt idx="10">
                  <c:v>5450</c:v>
                </c:pt>
                <c:pt idx="11">
                  <c:v>5550</c:v>
                </c:pt>
                <c:pt idx="12">
                  <c:v>5650</c:v>
                </c:pt>
                <c:pt idx="13">
                  <c:v>5750</c:v>
                </c:pt>
                <c:pt idx="14">
                  <c:v>5850</c:v>
                </c:pt>
                <c:pt idx="15">
                  <c:v>5950</c:v>
                </c:pt>
                <c:pt idx="16">
                  <c:v>6050</c:v>
                </c:pt>
                <c:pt idx="17">
                  <c:v>6150</c:v>
                </c:pt>
                <c:pt idx="18">
                  <c:v>6250</c:v>
                </c:pt>
                <c:pt idx="19">
                  <c:v>6350</c:v>
                </c:pt>
                <c:pt idx="20">
                  <c:v>6450</c:v>
                </c:pt>
                <c:pt idx="21">
                  <c:v>6550</c:v>
                </c:pt>
                <c:pt idx="22">
                  <c:v>6650</c:v>
                </c:pt>
                <c:pt idx="23">
                  <c:v>6750</c:v>
                </c:pt>
                <c:pt idx="24">
                  <c:v>6850</c:v>
                </c:pt>
                <c:pt idx="25">
                  <c:v>6950</c:v>
                </c:pt>
                <c:pt idx="26">
                  <c:v>7050</c:v>
                </c:pt>
                <c:pt idx="27">
                  <c:v>7150</c:v>
                </c:pt>
                <c:pt idx="28">
                  <c:v>7250</c:v>
                </c:pt>
                <c:pt idx="29">
                  <c:v>7350</c:v>
                </c:pt>
                <c:pt idx="30">
                  <c:v>7450</c:v>
                </c:pt>
                <c:pt idx="31">
                  <c:v>7550</c:v>
                </c:pt>
              </c:numCache>
            </c:numRef>
          </c:cat>
          <c:val>
            <c:numRef>
              <c:f>CIALNE!$B$21:$B$43</c:f>
              <c:numCache>
                <c:formatCode>General</c:formatCode>
                <c:ptCount val="23"/>
              </c:numCache>
            </c:numRef>
          </c:val>
          <c:extLst>
            <c:ext xmlns:c16="http://schemas.microsoft.com/office/drawing/2014/chart" uri="{C3380CC4-5D6E-409C-BE32-E72D297353CC}">
              <c16:uniqueId val="{00000000-7257-4B9B-AC36-A4A4E774E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632468"/>
        <c:axId val="32884264"/>
      </c:barChart>
      <c:catAx>
        <c:axId val="9863246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pt-BR" sz="8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pt-BR" sz="8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Peso</a:t>
                </a:r>
              </a:p>
            </c:rich>
          </c:tx>
          <c:layout>
            <c:manualLayout>
              <c:xMode val="edge"/>
              <c:yMode val="edge"/>
              <c:x val="4.8687986879868798E-2"/>
              <c:y val="0.44043868860109697"/>
            </c:manualLayout>
          </c:layout>
          <c:overlay val="0"/>
          <c:spPr>
            <a:noFill/>
            <a:ln w="2556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pt-BR"/>
          </a:p>
        </c:txPr>
        <c:crossAx val="32884264"/>
        <c:crosses val="autoZero"/>
        <c:auto val="1"/>
        <c:lblAlgn val="ctr"/>
        <c:lblOffset val="100"/>
        <c:noMultiLvlLbl val="0"/>
      </c:catAx>
      <c:valAx>
        <c:axId val="32884264"/>
        <c:scaling>
          <c:orientation val="minMax"/>
          <c:max val="15"/>
        </c:scaling>
        <c:delete val="0"/>
        <c:axPos val="b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pt-BR" sz="8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pt-BR" sz="8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Nº Pintos</a:t>
                </a:r>
              </a:p>
            </c:rich>
          </c:tx>
          <c:layout>
            <c:manualLayout>
              <c:xMode val="edge"/>
              <c:yMode val="edge"/>
              <c:x val="0.46936819502976151"/>
              <c:y val="0.93794684024952557"/>
            </c:manualLayout>
          </c:layout>
          <c:overlay val="0"/>
          <c:spPr>
            <a:noFill/>
            <a:ln w="2556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pt-BR"/>
          </a:p>
        </c:txPr>
        <c:crossAx val="98632468"/>
        <c:crosses val="autoZero"/>
        <c:crossBetween val="between"/>
        <c:majorUnit val="5"/>
      </c:valAx>
      <c:spPr>
        <a:noFill/>
        <a:ln w="3240">
          <a:solidFill>
            <a:srgbClr val="000000"/>
          </a:solidFill>
          <a:round/>
        </a:ln>
      </c:spPr>
    </c:plotArea>
    <c:plotVisOnly val="1"/>
    <c:dispBlanksAs val="gap"/>
    <c:showDLblsOverMax val="1"/>
  </c:chart>
  <c:spPr>
    <a:solidFill>
      <a:srgbClr val="FFFFFF"/>
    </a:solidFill>
    <a:ln w="3240">
      <a:solidFill>
        <a:srgbClr val="000000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63735</xdr:colOff>
      <xdr:row>10</xdr:row>
      <xdr:rowOff>29325</xdr:rowOff>
    </xdr:from>
    <xdr:to>
      <xdr:col>13</xdr:col>
      <xdr:colOff>419100</xdr:colOff>
      <xdr:row>43</xdr:row>
      <xdr:rowOff>142875</xdr:rowOff>
    </xdr:to>
    <xdr:graphicFrame macro="">
      <xdr:nvGraphicFramePr>
        <xdr:cNvPr id="2" name="Gráfico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142920</xdr:colOff>
      <xdr:row>0</xdr:row>
      <xdr:rowOff>114480</xdr:rowOff>
    </xdr:from>
    <xdr:to>
      <xdr:col>2</xdr:col>
      <xdr:colOff>665280</xdr:colOff>
      <xdr:row>2</xdr:row>
      <xdr:rowOff>73080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 l="-163" t="-803" r="31293" b="-803"/>
        <a:stretch/>
      </xdr:blipFill>
      <xdr:spPr>
        <a:xfrm>
          <a:off x="142920" y="114480"/>
          <a:ext cx="1695600" cy="318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63735</xdr:colOff>
      <xdr:row>10</xdr:row>
      <xdr:rowOff>29325</xdr:rowOff>
    </xdr:from>
    <xdr:to>
      <xdr:col>13</xdr:col>
      <xdr:colOff>419100</xdr:colOff>
      <xdr:row>43</xdr:row>
      <xdr:rowOff>142875</xdr:rowOff>
    </xdr:to>
    <xdr:graphicFrame macro="">
      <xdr:nvGraphicFramePr>
        <xdr:cNvPr id="2" name="Gráfico 4">
          <a:extLst>
            <a:ext uri="{FF2B5EF4-FFF2-40B4-BE49-F238E27FC236}">
              <a16:creationId xmlns:a16="http://schemas.microsoft.com/office/drawing/2014/main" id="{EE4F859E-4FF4-459D-9505-D8031E4278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142920</xdr:colOff>
      <xdr:row>0</xdr:row>
      <xdr:rowOff>114480</xdr:rowOff>
    </xdr:from>
    <xdr:to>
      <xdr:col>2</xdr:col>
      <xdr:colOff>665280</xdr:colOff>
      <xdr:row>2</xdr:row>
      <xdr:rowOff>73080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E0826D7-FEF4-4516-B6BB-4F762FF1B4B8}"/>
            </a:ext>
          </a:extLst>
        </xdr:cNvPr>
        <xdr:cNvPicPr/>
      </xdr:nvPicPr>
      <xdr:blipFill>
        <a:blip xmlns:r="http://schemas.openxmlformats.org/officeDocument/2006/relationships" r:embed="rId2"/>
        <a:srcRect l="-163" t="-803" r="31293" b="-803"/>
        <a:stretch/>
      </xdr:blipFill>
      <xdr:spPr>
        <a:xfrm>
          <a:off x="142920" y="114480"/>
          <a:ext cx="1627260" cy="311025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104"/>
  <sheetViews>
    <sheetView zoomScaleNormal="100" workbookViewId="0">
      <selection activeCell="E16" sqref="E16"/>
    </sheetView>
  </sheetViews>
  <sheetFormatPr defaultColWidth="9.140625" defaultRowHeight="12.75"/>
  <cols>
    <col min="1" max="1" width="8.7109375" style="4" customWidth="1"/>
    <col min="2" max="2" width="7.85546875" style="4" customWidth="1"/>
    <col min="3" max="3" width="10.85546875" style="4" customWidth="1"/>
    <col min="4" max="4" width="11.85546875" style="4" customWidth="1"/>
    <col min="5" max="5" width="10.5703125" style="4" customWidth="1"/>
    <col min="6" max="6" width="9.7109375" style="4" customWidth="1"/>
    <col min="7" max="7" width="13" style="4" customWidth="1"/>
    <col min="8" max="8" width="11.5703125" style="4" customWidth="1"/>
    <col min="9" max="9" width="14.5703125" style="4" customWidth="1"/>
    <col min="10" max="10" width="11" style="4" customWidth="1"/>
    <col min="11" max="12" width="12.28515625" style="4" customWidth="1"/>
    <col min="13" max="13" width="9.5703125" style="4" customWidth="1"/>
    <col min="14" max="14" width="10.5703125" style="4" customWidth="1"/>
    <col min="15" max="15" width="5.140625" style="4" customWidth="1"/>
    <col min="16" max="258" width="9.140625" style="4"/>
    <col min="259" max="259" width="8.7109375" style="4" customWidth="1"/>
    <col min="260" max="260" width="5.7109375" style="4" customWidth="1"/>
    <col min="261" max="261" width="12.85546875" style="4" customWidth="1"/>
    <col min="262" max="262" width="10.28515625" style="4" customWidth="1"/>
    <col min="263" max="263" width="10.5703125" style="4" customWidth="1"/>
    <col min="264" max="264" width="11.7109375" style="4" customWidth="1"/>
    <col min="265" max="265" width="14.5703125" style="4" customWidth="1"/>
    <col min="266" max="266" width="11.5703125" style="4" customWidth="1"/>
    <col min="267" max="267" width="12.5703125" style="4" customWidth="1"/>
    <col min="268" max="268" width="12.28515625" style="4" customWidth="1"/>
    <col min="269" max="269" width="10.85546875" style="4" customWidth="1"/>
    <col min="270" max="270" width="10.140625" style="4" customWidth="1"/>
    <col min="271" max="271" width="5.140625" style="4" customWidth="1"/>
    <col min="272" max="514" width="9.140625" style="4"/>
    <col min="515" max="515" width="8.7109375" style="4" customWidth="1"/>
    <col min="516" max="516" width="5.7109375" style="4" customWidth="1"/>
    <col min="517" max="517" width="12.85546875" style="4" customWidth="1"/>
    <col min="518" max="518" width="10.28515625" style="4" customWidth="1"/>
    <col min="519" max="519" width="10.5703125" style="4" customWidth="1"/>
    <col min="520" max="520" width="11.7109375" style="4" customWidth="1"/>
    <col min="521" max="521" width="14.5703125" style="4" customWidth="1"/>
    <col min="522" max="522" width="11.5703125" style="4" customWidth="1"/>
    <col min="523" max="523" width="12.5703125" style="4" customWidth="1"/>
    <col min="524" max="524" width="12.28515625" style="4" customWidth="1"/>
    <col min="525" max="525" width="10.85546875" style="4" customWidth="1"/>
    <col min="526" max="526" width="10.140625" style="4" customWidth="1"/>
    <col min="527" max="527" width="5.140625" style="4" customWidth="1"/>
    <col min="528" max="770" width="9.140625" style="4"/>
    <col min="771" max="771" width="8.7109375" style="4" customWidth="1"/>
    <col min="772" max="772" width="5.7109375" style="4" customWidth="1"/>
    <col min="773" max="773" width="12.85546875" style="4" customWidth="1"/>
    <col min="774" max="774" width="10.28515625" style="4" customWidth="1"/>
    <col min="775" max="775" width="10.5703125" style="4" customWidth="1"/>
    <col min="776" max="776" width="11.7109375" style="4" customWidth="1"/>
    <col min="777" max="777" width="14.5703125" style="4" customWidth="1"/>
    <col min="778" max="778" width="11.5703125" style="4" customWidth="1"/>
    <col min="779" max="779" width="12.5703125" style="4" customWidth="1"/>
    <col min="780" max="780" width="12.28515625" style="4" customWidth="1"/>
    <col min="781" max="781" width="10.85546875" style="4" customWidth="1"/>
    <col min="782" max="782" width="10.140625" style="4" customWidth="1"/>
    <col min="783" max="783" width="5.140625" style="4" customWidth="1"/>
    <col min="784" max="1025" width="9.140625" style="4"/>
  </cols>
  <sheetData>
    <row r="1" spans="1:16" ht="11.1" customHeight="1">
      <c r="A1" s="129"/>
      <c r="B1" s="129"/>
      <c r="C1" s="129"/>
      <c r="D1" s="130" t="s">
        <v>0</v>
      </c>
      <c r="E1" s="130"/>
      <c r="F1" s="130"/>
      <c r="G1" s="130"/>
      <c r="H1" s="130"/>
      <c r="I1" s="130"/>
      <c r="J1" s="3"/>
      <c r="K1" s="131" t="s">
        <v>1</v>
      </c>
      <c r="L1" s="131"/>
      <c r="M1" s="131"/>
      <c r="N1" s="131"/>
    </row>
    <row r="2" spans="1:16" ht="17.25" customHeight="1">
      <c r="A2" s="129"/>
      <c r="B2" s="129"/>
      <c r="C2" s="129"/>
      <c r="D2" s="132" t="s">
        <v>2</v>
      </c>
      <c r="E2" s="132"/>
      <c r="F2" s="132"/>
      <c r="G2" s="132"/>
      <c r="H2" s="132"/>
      <c r="I2" s="132"/>
      <c r="J2" s="2"/>
      <c r="K2" s="131" t="s">
        <v>3</v>
      </c>
      <c r="L2" s="131"/>
      <c r="M2" s="131"/>
      <c r="N2" s="131"/>
    </row>
    <row r="3" spans="1:16" ht="11.1" customHeight="1">
      <c r="A3" s="129"/>
      <c r="B3" s="129"/>
      <c r="C3" s="129"/>
      <c r="D3" s="133" t="s">
        <v>4</v>
      </c>
      <c r="E3" s="133"/>
      <c r="F3" s="133"/>
      <c r="G3" s="133"/>
      <c r="H3" s="133"/>
      <c r="I3" s="133"/>
      <c r="J3" s="1"/>
      <c r="K3" s="131" t="s">
        <v>5</v>
      </c>
      <c r="L3" s="131"/>
      <c r="M3" s="131"/>
      <c r="N3" s="131"/>
    </row>
    <row r="4" spans="1:16" ht="13.35" customHeight="1">
      <c r="A4" s="131" t="s">
        <v>6</v>
      </c>
      <c r="B4" s="131"/>
      <c r="C4" s="131"/>
      <c r="D4" s="131"/>
      <c r="E4" s="131"/>
      <c r="F4" s="131"/>
      <c r="G4" s="131" t="s">
        <v>7</v>
      </c>
      <c r="H4" s="131"/>
      <c r="I4" s="131"/>
      <c r="J4" s="131"/>
      <c r="K4" s="131"/>
      <c r="L4" s="131"/>
      <c r="M4" s="131"/>
      <c r="N4" s="131"/>
    </row>
    <row r="5" spans="1:16" ht="7.5" customHeight="1" thickBot="1">
      <c r="A5" s="5"/>
      <c r="N5" s="6"/>
    </row>
    <row r="6" spans="1:16" ht="16.350000000000001" customHeight="1" thickBot="1">
      <c r="A6" s="140" t="s">
        <v>8</v>
      </c>
      <c r="B6" s="141"/>
      <c r="C6" s="142"/>
      <c r="D6" s="143"/>
      <c r="E6" s="143"/>
      <c r="F6" s="144"/>
      <c r="G6" s="9" t="s">
        <v>137</v>
      </c>
      <c r="H6" s="7"/>
      <c r="I6" s="105" t="s">
        <v>138</v>
      </c>
      <c r="J6" s="7"/>
      <c r="K6" s="9" t="s">
        <v>9</v>
      </c>
      <c r="L6" s="145"/>
      <c r="M6" s="146"/>
      <c r="N6" s="127"/>
      <c r="O6" s="10"/>
      <c r="P6" s="11"/>
    </row>
    <row r="7" spans="1:16" ht="6.75" customHeight="1" thickBot="1">
      <c r="A7" s="1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3"/>
      <c r="O7" s="11"/>
      <c r="P7" s="11"/>
    </row>
    <row r="8" spans="1:16" ht="16.5" customHeight="1" thickBot="1">
      <c r="A8" s="140" t="s">
        <v>10</v>
      </c>
      <c r="B8" s="147"/>
      <c r="C8" s="148"/>
      <c r="D8" s="149"/>
      <c r="E8" s="150" t="s">
        <v>11</v>
      </c>
      <c r="F8" s="147"/>
      <c r="G8" s="15"/>
      <c r="H8" s="150" t="s">
        <v>12</v>
      </c>
      <c r="I8" s="147"/>
      <c r="J8" s="108" t="e">
        <f>G8/C8</f>
        <v>#DIV/0!</v>
      </c>
      <c r="K8" s="9" t="s">
        <v>15</v>
      </c>
      <c r="L8" s="151" t="s">
        <v>16</v>
      </c>
      <c r="M8" s="152"/>
      <c r="N8" s="128"/>
      <c r="O8" s="11"/>
      <c r="P8" s="11"/>
    </row>
    <row r="9" spans="1:16" ht="7.5" customHeight="1" thickBot="1">
      <c r="A9" s="1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13"/>
      <c r="O9" s="11"/>
      <c r="P9" s="11"/>
    </row>
    <row r="10" spans="1:16" ht="15.75" customHeight="1" thickBot="1">
      <c r="A10" s="134" t="s">
        <v>13</v>
      </c>
      <c r="B10" s="134"/>
      <c r="C10" s="134"/>
      <c r="D10" s="134"/>
      <c r="E10" s="9" t="s">
        <v>14</v>
      </c>
      <c r="F10" s="7"/>
      <c r="G10" s="9" t="s">
        <v>140</v>
      </c>
      <c r="H10" s="107"/>
      <c r="I10" s="105" t="s">
        <v>141</v>
      </c>
      <c r="J10" s="7"/>
      <c r="K10" s="9" t="s">
        <v>142</v>
      </c>
      <c r="L10" s="14">
        <v>1750</v>
      </c>
      <c r="M10" s="118"/>
      <c r="N10" s="106"/>
      <c r="O10" s="11"/>
      <c r="P10" s="11"/>
    </row>
    <row r="11" spans="1:16" ht="12" customHeight="1">
      <c r="A11" s="16" t="s">
        <v>17</v>
      </c>
      <c r="B11" s="16" t="s">
        <v>18</v>
      </c>
      <c r="C11" s="17" t="s">
        <v>19</v>
      </c>
      <c r="D11" s="16" t="s">
        <v>20</v>
      </c>
      <c r="E11" s="18"/>
      <c r="F11" s="18"/>
      <c r="G11" s="135" t="s">
        <v>21</v>
      </c>
      <c r="H11" s="136"/>
      <c r="N11" s="6"/>
    </row>
    <row r="12" spans="1:16" ht="12" customHeight="1">
      <c r="A12" s="19">
        <v>3910</v>
      </c>
      <c r="B12" s="20"/>
      <c r="C12" s="21">
        <f t="shared" ref="C12:C16" si="0">A12*A12*B12</f>
        <v>0</v>
      </c>
      <c r="D12" s="21">
        <f t="shared" ref="D12:D16" si="1">C12/A12</f>
        <v>0</v>
      </c>
      <c r="E12" s="22"/>
      <c r="F12" s="22"/>
      <c r="G12" s="135"/>
      <c r="H12" s="136"/>
      <c r="N12" s="6"/>
    </row>
    <row r="13" spans="1:16" ht="12" customHeight="1">
      <c r="A13" s="19">
        <v>3990</v>
      </c>
      <c r="B13" s="20"/>
      <c r="C13" s="21">
        <f t="shared" si="0"/>
        <v>0</v>
      </c>
      <c r="D13" s="21">
        <f t="shared" si="1"/>
        <v>0</v>
      </c>
      <c r="E13" s="22"/>
      <c r="F13" s="22"/>
      <c r="G13" s="135"/>
      <c r="H13" s="136"/>
      <c r="N13" s="6"/>
    </row>
    <row r="14" spans="1:16" ht="12" customHeight="1">
      <c r="A14" s="19">
        <v>4070</v>
      </c>
      <c r="B14" s="20"/>
      <c r="C14" s="21">
        <f t="shared" si="0"/>
        <v>0</v>
      </c>
      <c r="D14" s="21">
        <f t="shared" si="1"/>
        <v>0</v>
      </c>
      <c r="E14" s="22"/>
      <c r="F14" s="22"/>
      <c r="G14" s="135"/>
      <c r="H14" s="136"/>
      <c r="N14" s="6"/>
    </row>
    <row r="15" spans="1:16" ht="12" customHeight="1">
      <c r="A15" s="19">
        <v>4150</v>
      </c>
      <c r="B15" s="20"/>
      <c r="C15" s="21">
        <f t="shared" si="0"/>
        <v>0</v>
      </c>
      <c r="D15" s="21">
        <f t="shared" si="1"/>
        <v>0</v>
      </c>
      <c r="E15" s="22"/>
      <c r="F15" s="22"/>
      <c r="G15" s="135"/>
      <c r="H15" s="136"/>
      <c r="N15" s="6"/>
    </row>
    <row r="16" spans="1:16" ht="12" customHeight="1">
      <c r="A16" s="19">
        <v>4230</v>
      </c>
      <c r="B16" s="20"/>
      <c r="C16" s="21">
        <f t="shared" si="0"/>
        <v>0</v>
      </c>
      <c r="D16" s="21">
        <f t="shared" si="1"/>
        <v>0</v>
      </c>
      <c r="E16" s="22"/>
      <c r="F16" s="22"/>
      <c r="G16" s="135"/>
      <c r="H16" s="136"/>
      <c r="N16" s="6"/>
    </row>
    <row r="17" spans="1:14" ht="12" customHeight="1">
      <c r="A17" s="19">
        <v>4310</v>
      </c>
      <c r="B17" s="20"/>
      <c r="C17" s="21">
        <f t="shared" ref="C17:C20" si="2">A17*A17*B17</f>
        <v>0</v>
      </c>
      <c r="D17" s="21">
        <f t="shared" ref="D17:D20" si="3">C17/A17</f>
        <v>0</v>
      </c>
      <c r="E17" s="22"/>
      <c r="F17" s="22"/>
      <c r="G17" s="135"/>
      <c r="H17" s="136"/>
      <c r="N17" s="6"/>
    </row>
    <row r="18" spans="1:14" ht="12" customHeight="1">
      <c r="A18" s="19">
        <v>4390</v>
      </c>
      <c r="B18" s="20"/>
      <c r="C18" s="21">
        <f t="shared" si="2"/>
        <v>0</v>
      </c>
      <c r="D18" s="21">
        <f t="shared" si="3"/>
        <v>0</v>
      </c>
      <c r="E18" s="22"/>
      <c r="F18" s="22"/>
      <c r="G18" s="135"/>
      <c r="H18" s="136"/>
      <c r="N18" s="6"/>
    </row>
    <row r="19" spans="1:14" ht="12" customHeight="1">
      <c r="A19" s="19">
        <v>4470</v>
      </c>
      <c r="B19" s="20"/>
      <c r="C19" s="21">
        <f t="shared" si="2"/>
        <v>0</v>
      </c>
      <c r="D19" s="21">
        <f t="shared" si="3"/>
        <v>0</v>
      </c>
      <c r="E19" s="22"/>
      <c r="F19" s="22"/>
      <c r="G19" s="135"/>
      <c r="H19" s="136"/>
      <c r="N19" s="6"/>
    </row>
    <row r="20" spans="1:14" ht="12" customHeight="1">
      <c r="A20" s="19">
        <v>4550</v>
      </c>
      <c r="B20" s="20"/>
      <c r="C20" s="21">
        <f t="shared" si="2"/>
        <v>0</v>
      </c>
      <c r="D20" s="21">
        <f t="shared" si="3"/>
        <v>0</v>
      </c>
      <c r="E20" s="22"/>
      <c r="F20" s="22"/>
      <c r="G20" s="135"/>
      <c r="H20" s="136"/>
      <c r="N20" s="6"/>
    </row>
    <row r="21" spans="1:14" ht="12" customHeight="1">
      <c r="A21" s="19">
        <v>4630</v>
      </c>
      <c r="B21" s="20"/>
      <c r="C21" s="21">
        <f t="shared" ref="C21:C43" si="4">A21*A21*B21</f>
        <v>0</v>
      </c>
      <c r="D21" s="21">
        <f t="shared" ref="D21:D43" si="5">C21/A21</f>
        <v>0</v>
      </c>
      <c r="E21" s="22"/>
      <c r="F21" s="22"/>
      <c r="G21" s="135"/>
      <c r="H21" s="135"/>
      <c r="N21" s="6"/>
    </row>
    <row r="22" spans="1:14" ht="12" customHeight="1">
      <c r="A22" s="19">
        <v>4710</v>
      </c>
      <c r="B22" s="20"/>
      <c r="C22" s="21">
        <f t="shared" si="4"/>
        <v>0</v>
      </c>
      <c r="D22" s="21">
        <f t="shared" si="5"/>
        <v>0</v>
      </c>
      <c r="E22" s="18"/>
      <c r="F22" s="18"/>
      <c r="G22" s="135"/>
      <c r="H22" s="135"/>
      <c r="N22" s="6"/>
    </row>
    <row r="23" spans="1:14" ht="12" customHeight="1">
      <c r="A23" s="19">
        <v>4790</v>
      </c>
      <c r="B23" s="20"/>
      <c r="C23" s="21">
        <f t="shared" si="4"/>
        <v>0</v>
      </c>
      <c r="D23" s="21">
        <f t="shared" si="5"/>
        <v>0</v>
      </c>
      <c r="E23" s="18"/>
      <c r="F23" s="18"/>
      <c r="G23" s="137">
        <v>0.1</v>
      </c>
      <c r="H23" s="137" t="s">
        <v>22</v>
      </c>
      <c r="N23" s="6"/>
    </row>
    <row r="24" spans="1:14" ht="12" customHeight="1">
      <c r="A24" s="19">
        <v>4870</v>
      </c>
      <c r="B24" s="20"/>
      <c r="C24" s="21">
        <f t="shared" si="4"/>
        <v>0</v>
      </c>
      <c r="D24" s="21">
        <f t="shared" si="5"/>
        <v>0</v>
      </c>
      <c r="E24" s="18"/>
      <c r="F24" s="18"/>
      <c r="G24" s="137"/>
      <c r="H24" s="137"/>
      <c r="N24" s="6"/>
    </row>
    <row r="25" spans="1:14" ht="12" customHeight="1">
      <c r="A25" s="19">
        <v>4950</v>
      </c>
      <c r="B25" s="20"/>
      <c r="C25" s="21">
        <f t="shared" si="4"/>
        <v>0</v>
      </c>
      <c r="D25" s="21">
        <f t="shared" si="5"/>
        <v>0</v>
      </c>
      <c r="E25" s="22"/>
      <c r="F25" s="23"/>
      <c r="G25" s="24" t="e">
        <f>G29+(G29*10%)</f>
        <v>#DIV/0!</v>
      </c>
      <c r="H25" s="24" t="e">
        <f>G29-(G29*10%)</f>
        <v>#DIV/0!</v>
      </c>
      <c r="N25" s="6"/>
    </row>
    <row r="26" spans="1:14" ht="12" customHeight="1">
      <c r="A26" s="19">
        <v>5030</v>
      </c>
      <c r="B26" s="20"/>
      <c r="C26" s="21">
        <f t="shared" si="4"/>
        <v>0</v>
      </c>
      <c r="D26" s="21">
        <f t="shared" si="5"/>
        <v>0</v>
      </c>
      <c r="E26" s="22"/>
      <c r="F26" s="23"/>
      <c r="G26" s="138" t="s">
        <v>23</v>
      </c>
      <c r="H26" s="138"/>
      <c r="N26" s="6"/>
    </row>
    <row r="27" spans="1:14" ht="12" customHeight="1">
      <c r="A27" s="19">
        <v>5110</v>
      </c>
      <c r="B27" s="20"/>
      <c r="C27" s="21">
        <f t="shared" si="4"/>
        <v>0</v>
      </c>
      <c r="D27" s="21">
        <f t="shared" si="5"/>
        <v>0</v>
      </c>
      <c r="E27" s="22"/>
      <c r="F27" s="23"/>
      <c r="G27" s="139">
        <f>SUM(B12:B43)</f>
        <v>0</v>
      </c>
      <c r="H27" s="139"/>
      <c r="N27" s="6"/>
    </row>
    <row r="28" spans="1:14" ht="12" customHeight="1">
      <c r="A28" s="19">
        <v>5190</v>
      </c>
      <c r="B28" s="20"/>
      <c r="C28" s="21">
        <f t="shared" si="4"/>
        <v>0</v>
      </c>
      <c r="D28" s="21">
        <f t="shared" si="5"/>
        <v>0</v>
      </c>
      <c r="E28" s="22"/>
      <c r="F28" s="23"/>
      <c r="G28" s="138" t="s">
        <v>24</v>
      </c>
      <c r="H28" s="138"/>
      <c r="N28" s="6"/>
    </row>
    <row r="29" spans="1:14" ht="12" customHeight="1">
      <c r="A29" s="19">
        <v>5270</v>
      </c>
      <c r="B29" s="20"/>
      <c r="C29" s="21">
        <f t="shared" si="4"/>
        <v>0</v>
      </c>
      <c r="D29" s="21">
        <f t="shared" si="5"/>
        <v>0</v>
      </c>
      <c r="E29" s="22"/>
      <c r="F29" s="23"/>
      <c r="G29" s="156" t="e">
        <f>((D44/B44)-L10)/80</f>
        <v>#DIV/0!</v>
      </c>
      <c r="H29" s="156"/>
      <c r="N29" s="6"/>
    </row>
    <row r="30" spans="1:14" ht="12" customHeight="1">
      <c r="A30" s="19">
        <v>5350</v>
      </c>
      <c r="B30" s="20"/>
      <c r="C30" s="21">
        <f t="shared" si="4"/>
        <v>0</v>
      </c>
      <c r="D30" s="21">
        <f t="shared" si="5"/>
        <v>0</v>
      </c>
      <c r="E30" s="22"/>
      <c r="F30" s="23"/>
      <c r="G30" s="153" t="s">
        <v>25</v>
      </c>
      <c r="H30" s="153"/>
      <c r="N30" s="6"/>
    </row>
    <row r="31" spans="1:14" ht="12" customHeight="1">
      <c r="A31" s="19">
        <v>5430</v>
      </c>
      <c r="B31" s="20"/>
      <c r="C31" s="21">
        <f t="shared" si="4"/>
        <v>0</v>
      </c>
      <c r="D31" s="21">
        <f t="shared" si="5"/>
        <v>0</v>
      </c>
      <c r="E31" s="22"/>
      <c r="F31" s="23"/>
      <c r="G31" s="157" t="e">
        <f>G27/B44%</f>
        <v>#DIV/0!</v>
      </c>
      <c r="H31" s="157"/>
      <c r="N31" s="6"/>
    </row>
    <row r="32" spans="1:14" ht="12" customHeight="1">
      <c r="A32" s="19">
        <v>5510</v>
      </c>
      <c r="B32" s="20"/>
      <c r="C32" s="21">
        <f t="shared" si="4"/>
        <v>0</v>
      </c>
      <c r="D32" s="21">
        <f t="shared" si="5"/>
        <v>0</v>
      </c>
      <c r="E32" s="25" t="s">
        <v>26</v>
      </c>
      <c r="F32" s="26">
        <f>B44*C44</f>
        <v>0</v>
      </c>
      <c r="G32" s="153" t="s">
        <v>27</v>
      </c>
      <c r="H32" s="153"/>
      <c r="N32" s="6"/>
    </row>
    <row r="33" spans="1:14" ht="12" customHeight="1">
      <c r="A33" s="19">
        <v>5590</v>
      </c>
      <c r="B33" s="20"/>
      <c r="C33" s="21">
        <f t="shared" si="4"/>
        <v>0</v>
      </c>
      <c r="D33" s="21">
        <f t="shared" si="5"/>
        <v>0</v>
      </c>
      <c r="E33" s="25" t="s">
        <v>28</v>
      </c>
      <c r="F33" s="26">
        <f>D44*D44</f>
        <v>0</v>
      </c>
      <c r="G33" s="157" t="e">
        <f>(SQRT(F36)/80)</f>
        <v>#DIV/0!</v>
      </c>
      <c r="H33" s="157"/>
      <c r="N33" s="6"/>
    </row>
    <row r="34" spans="1:14" ht="12" customHeight="1">
      <c r="A34" s="19">
        <v>5670</v>
      </c>
      <c r="B34" s="20"/>
      <c r="C34" s="21">
        <f t="shared" si="4"/>
        <v>0</v>
      </c>
      <c r="D34" s="21">
        <f t="shared" si="5"/>
        <v>0</v>
      </c>
      <c r="E34" s="25" t="s">
        <v>29</v>
      </c>
      <c r="F34" s="26">
        <f>F32-F33</f>
        <v>0</v>
      </c>
      <c r="G34" s="153" t="s">
        <v>30</v>
      </c>
      <c r="H34" s="153"/>
      <c r="N34" s="6"/>
    </row>
    <row r="35" spans="1:14" ht="12" customHeight="1">
      <c r="A35" s="19">
        <v>5750</v>
      </c>
      <c r="B35" s="20"/>
      <c r="C35" s="21">
        <f t="shared" si="4"/>
        <v>0</v>
      </c>
      <c r="D35" s="21">
        <f t="shared" si="5"/>
        <v>0</v>
      </c>
      <c r="E35" s="27" t="s">
        <v>31</v>
      </c>
      <c r="F35" s="26">
        <f>B44*(B44-1)</f>
        <v>0</v>
      </c>
      <c r="G35" s="154" t="e">
        <f>G33/G29%</f>
        <v>#DIV/0!</v>
      </c>
      <c r="H35" s="154"/>
      <c r="N35" s="6"/>
    </row>
    <row r="36" spans="1:14" ht="12" customHeight="1">
      <c r="A36" s="19">
        <v>5830</v>
      </c>
      <c r="B36" s="20"/>
      <c r="C36" s="21">
        <f t="shared" si="4"/>
        <v>0</v>
      </c>
      <c r="D36" s="21">
        <f t="shared" si="5"/>
        <v>0</v>
      </c>
      <c r="E36" s="27"/>
      <c r="F36" s="28" t="e">
        <f>F34/F35</f>
        <v>#DIV/0!</v>
      </c>
      <c r="G36" s="153" t="s">
        <v>32</v>
      </c>
      <c r="H36" s="153"/>
      <c r="N36" s="6"/>
    </row>
    <row r="37" spans="1:14" ht="12" customHeight="1">
      <c r="A37" s="19">
        <v>5910</v>
      </c>
      <c r="B37" s="20"/>
      <c r="C37" s="21">
        <f t="shared" si="4"/>
        <v>0</v>
      </c>
      <c r="D37" s="21">
        <f t="shared" si="5"/>
        <v>0</v>
      </c>
      <c r="E37" s="22"/>
      <c r="F37" s="22"/>
      <c r="G37" s="155" t="e">
        <f>IF(G35&gt;=8,"REPROVADO",IF(AND(G35&lt;8),"APROVADO"))</f>
        <v>#DIV/0!</v>
      </c>
      <c r="H37" s="155"/>
      <c r="N37" s="6"/>
    </row>
    <row r="38" spans="1:14" ht="12" customHeight="1">
      <c r="A38" s="19">
        <v>5990</v>
      </c>
      <c r="B38" s="20"/>
      <c r="C38" s="21">
        <f t="shared" si="4"/>
        <v>0</v>
      </c>
      <c r="D38" s="21">
        <f t="shared" si="5"/>
        <v>0</v>
      </c>
      <c r="E38" s="22"/>
      <c r="F38" s="22"/>
      <c r="G38" s="155"/>
      <c r="H38" s="155"/>
      <c r="N38" s="6"/>
    </row>
    <row r="39" spans="1:14" ht="12" customHeight="1">
      <c r="A39" s="19">
        <v>6070</v>
      </c>
      <c r="B39" s="20"/>
      <c r="C39" s="21">
        <f t="shared" si="4"/>
        <v>0</v>
      </c>
      <c r="D39" s="21">
        <f t="shared" si="5"/>
        <v>0</v>
      </c>
      <c r="E39" s="22"/>
      <c r="F39" s="29"/>
      <c r="G39" s="30"/>
      <c r="H39" s="31"/>
      <c r="N39" s="6"/>
    </row>
    <row r="40" spans="1:14" ht="12" customHeight="1">
      <c r="A40" s="19">
        <v>6150</v>
      </c>
      <c r="B40" s="20"/>
      <c r="C40" s="21">
        <f t="shared" si="4"/>
        <v>0</v>
      </c>
      <c r="D40" s="21">
        <f t="shared" si="5"/>
        <v>0</v>
      </c>
      <c r="E40" s="22"/>
      <c r="F40" s="29"/>
      <c r="G40" s="153" t="s">
        <v>33</v>
      </c>
      <c r="H40" s="153"/>
      <c r="N40" s="6"/>
    </row>
    <row r="41" spans="1:14" ht="12" customHeight="1">
      <c r="A41" s="19">
        <v>6230</v>
      </c>
      <c r="B41" s="20"/>
      <c r="C41" s="21">
        <f t="shared" si="4"/>
        <v>0</v>
      </c>
      <c r="D41" s="21">
        <f t="shared" si="5"/>
        <v>0</v>
      </c>
      <c r="E41" s="22"/>
      <c r="F41" s="29"/>
      <c r="G41" s="155" t="e">
        <f>IF(G31&gt;=89.99,"APROVADO",IF(AND(G31&lt;=90),"REPROVADO"))</f>
        <v>#DIV/0!</v>
      </c>
      <c r="H41" s="155"/>
      <c r="N41" s="6"/>
    </row>
    <row r="42" spans="1:14" ht="12" customHeight="1">
      <c r="A42" s="19">
        <v>6310</v>
      </c>
      <c r="B42" s="20"/>
      <c r="C42" s="21">
        <f t="shared" si="4"/>
        <v>0</v>
      </c>
      <c r="D42" s="21">
        <f t="shared" si="5"/>
        <v>0</v>
      </c>
      <c r="E42" s="22"/>
      <c r="F42" s="29"/>
      <c r="G42" s="155"/>
      <c r="H42" s="155"/>
      <c r="N42" s="6"/>
    </row>
    <row r="43" spans="1:14" ht="12" customHeight="1">
      <c r="A43" s="19">
        <v>6000</v>
      </c>
      <c r="B43" s="20"/>
      <c r="C43" s="21">
        <f t="shared" si="4"/>
        <v>0</v>
      </c>
      <c r="D43" s="21">
        <f t="shared" si="5"/>
        <v>0</v>
      </c>
      <c r="E43" s="22"/>
      <c r="F43" s="29"/>
      <c r="G43" s="5"/>
      <c r="H43" s="6"/>
      <c r="N43" s="6"/>
    </row>
    <row r="44" spans="1:14" ht="12" customHeight="1">
      <c r="A44" s="16" t="s">
        <v>34</v>
      </c>
      <c r="B44" s="32">
        <f>SUM(B12:B43)</f>
        <v>0</v>
      </c>
      <c r="C44" s="21">
        <f>SUM(C12:C43)</f>
        <v>0</v>
      </c>
      <c r="D44" s="21">
        <f>SUM(D21:D43)</f>
        <v>0</v>
      </c>
      <c r="E44" s="22"/>
      <c r="F44" s="29"/>
      <c r="G44" s="33"/>
      <c r="H44" s="34"/>
      <c r="N44" s="6"/>
    </row>
    <row r="45" spans="1:14" ht="7.5" customHeight="1">
      <c r="A45" s="5"/>
      <c r="N45" s="6"/>
    </row>
    <row r="46" spans="1:14" ht="17.25" customHeight="1" thickBot="1">
      <c r="A46" s="166" t="s">
        <v>35</v>
      </c>
      <c r="B46" s="167"/>
      <c r="C46" s="167"/>
      <c r="D46" s="167"/>
      <c r="E46" s="167"/>
      <c r="G46" s="168" t="s">
        <v>36</v>
      </c>
      <c r="H46" s="168"/>
      <c r="I46" s="168"/>
      <c r="J46" s="168"/>
      <c r="K46" s="168"/>
      <c r="L46" s="115"/>
      <c r="M46" s="35"/>
      <c r="N46" s="6"/>
    </row>
    <row r="47" spans="1:14" ht="13.5" customHeight="1" thickBot="1">
      <c r="A47" s="162" t="s">
        <v>37</v>
      </c>
      <c r="B47" s="162"/>
      <c r="C47" s="162"/>
      <c r="D47" s="162"/>
      <c r="E47" s="16"/>
      <c r="F47" s="36" t="s">
        <v>38</v>
      </c>
      <c r="G47" s="169" t="s">
        <v>39</v>
      </c>
      <c r="H47" s="170" t="s">
        <v>40</v>
      </c>
      <c r="I47" s="170"/>
      <c r="J47" s="170"/>
      <c r="K47" s="171"/>
      <c r="L47" s="135" t="s">
        <v>41</v>
      </c>
      <c r="M47" s="135"/>
      <c r="N47" s="158" t="s">
        <v>143</v>
      </c>
    </row>
    <row r="48" spans="1:14" ht="12.75" customHeight="1" thickBot="1">
      <c r="A48" s="159" t="s">
        <v>42</v>
      </c>
      <c r="B48" s="159"/>
      <c r="C48" s="159"/>
      <c r="D48" s="159"/>
      <c r="E48" s="19"/>
      <c r="G48" s="169"/>
      <c r="H48" s="37" t="s">
        <v>43</v>
      </c>
      <c r="I48" s="160" t="s">
        <v>44</v>
      </c>
      <c r="J48" s="160"/>
      <c r="K48" s="161"/>
      <c r="L48" s="135"/>
      <c r="M48" s="135"/>
      <c r="N48" s="158"/>
    </row>
    <row r="49" spans="1:15" ht="13.5" customHeight="1" thickBot="1">
      <c r="A49" s="162" t="s">
        <v>45</v>
      </c>
      <c r="B49" s="162"/>
      <c r="C49" s="162"/>
      <c r="D49" s="162"/>
      <c r="E49" s="16"/>
      <c r="G49" s="169"/>
      <c r="H49" s="38"/>
      <c r="I49" s="39"/>
      <c r="J49" s="40"/>
      <c r="K49" s="117"/>
      <c r="L49" s="135"/>
      <c r="M49" s="135"/>
      <c r="N49" s="163" t="s">
        <v>144</v>
      </c>
    </row>
    <row r="50" spans="1:15" ht="12.75" customHeight="1" thickBot="1">
      <c r="A50" s="162" t="s">
        <v>46</v>
      </c>
      <c r="B50" s="162"/>
      <c r="C50" s="162"/>
      <c r="D50" s="162"/>
      <c r="E50" s="19"/>
      <c r="G50" s="169"/>
      <c r="H50" s="164" t="s">
        <v>47</v>
      </c>
      <c r="I50" s="164"/>
      <c r="J50" s="164"/>
      <c r="K50" s="165"/>
      <c r="L50" s="135"/>
      <c r="M50" s="135"/>
      <c r="N50" s="163"/>
    </row>
    <row r="51" spans="1:15" ht="13.5" customHeight="1" thickBot="1">
      <c r="A51" s="162" t="s">
        <v>48</v>
      </c>
      <c r="B51" s="162"/>
      <c r="C51" s="162"/>
      <c r="D51" s="162"/>
      <c r="E51" s="16"/>
      <c r="G51" s="169"/>
      <c r="H51" s="41" t="s">
        <v>49</v>
      </c>
      <c r="I51" s="172" t="s">
        <v>50</v>
      </c>
      <c r="J51" s="172"/>
      <c r="K51" s="173"/>
      <c r="L51" s="135"/>
      <c r="M51" s="135"/>
      <c r="N51" s="174" t="s">
        <v>145</v>
      </c>
    </row>
    <row r="52" spans="1:15" ht="12.75" customHeight="1" thickBot="1">
      <c r="A52" s="162" t="s">
        <v>51</v>
      </c>
      <c r="B52" s="162"/>
      <c r="C52" s="162"/>
      <c r="D52" s="162"/>
      <c r="E52" s="16"/>
      <c r="G52" s="169"/>
      <c r="H52" s="41" t="s">
        <v>52</v>
      </c>
      <c r="I52" s="172" t="s">
        <v>53</v>
      </c>
      <c r="J52" s="172"/>
      <c r="K52" s="173"/>
      <c r="L52" s="135"/>
      <c r="M52" s="135"/>
      <c r="N52" s="174"/>
    </row>
    <row r="53" spans="1:15" ht="12.75" customHeight="1" thickBot="1">
      <c r="A53" s="162" t="s">
        <v>54</v>
      </c>
      <c r="B53" s="162"/>
      <c r="C53" s="162"/>
      <c r="D53" s="162"/>
      <c r="E53" s="16"/>
      <c r="G53" s="169"/>
      <c r="H53" s="41" t="s">
        <v>55</v>
      </c>
      <c r="I53" s="172" t="s">
        <v>56</v>
      </c>
      <c r="J53" s="172"/>
      <c r="K53" s="173"/>
      <c r="L53" s="135" t="s">
        <v>57</v>
      </c>
      <c r="M53" s="135"/>
      <c r="N53" s="175" t="s">
        <v>58</v>
      </c>
    </row>
    <row r="54" spans="1:15" ht="12" customHeight="1" thickBot="1">
      <c r="A54" s="162" t="s">
        <v>59</v>
      </c>
      <c r="B54" s="162"/>
      <c r="C54" s="162"/>
      <c r="D54" s="162"/>
      <c r="E54" s="16"/>
      <c r="G54" s="169"/>
      <c r="H54" s="42" t="s">
        <v>60</v>
      </c>
      <c r="I54" s="176" t="s">
        <v>61</v>
      </c>
      <c r="J54" s="176"/>
      <c r="K54" s="177"/>
      <c r="L54" s="135"/>
      <c r="M54" s="135"/>
      <c r="N54" s="175"/>
    </row>
    <row r="55" spans="1:15" ht="13.5" customHeight="1">
      <c r="A55" s="162" t="s">
        <v>62</v>
      </c>
      <c r="B55" s="162"/>
      <c r="C55" s="162"/>
      <c r="D55" s="162"/>
      <c r="E55" s="43" t="e">
        <f>SUM(E47:E54)/G8</f>
        <v>#DIV/0!</v>
      </c>
      <c r="L55" s="135"/>
      <c r="M55" s="135"/>
      <c r="N55" s="179" t="s">
        <v>63</v>
      </c>
    </row>
    <row r="56" spans="1:15" ht="15.75" customHeight="1" thickBot="1">
      <c r="A56" s="162" t="s">
        <v>64</v>
      </c>
      <c r="B56" s="162"/>
      <c r="C56" s="162"/>
      <c r="D56" s="162"/>
      <c r="E56" s="16"/>
      <c r="G56" s="168" t="s">
        <v>65</v>
      </c>
      <c r="H56" s="168"/>
      <c r="I56" s="168"/>
      <c r="L56" s="135"/>
      <c r="M56" s="135"/>
      <c r="N56" s="179"/>
    </row>
    <row r="57" spans="1:15" ht="12.75" customHeight="1" thickBot="1">
      <c r="A57" s="162" t="s">
        <v>66</v>
      </c>
      <c r="B57" s="162"/>
      <c r="C57" s="162"/>
      <c r="D57" s="162"/>
      <c r="E57" s="44" t="e">
        <f>E56/G8</f>
        <v>#DIV/0!</v>
      </c>
      <c r="G57" s="180" t="s">
        <v>67</v>
      </c>
      <c r="H57" s="181" t="s">
        <v>68</v>
      </c>
      <c r="I57" s="182" t="s">
        <v>69</v>
      </c>
      <c r="J57" s="45"/>
      <c r="L57" s="135"/>
      <c r="M57" s="135"/>
      <c r="N57" s="183" t="s">
        <v>70</v>
      </c>
    </row>
    <row r="58" spans="1:15" ht="12.75" customHeight="1" thickBot="1">
      <c r="A58" s="162" t="s">
        <v>71</v>
      </c>
      <c r="B58" s="162"/>
      <c r="C58" s="162"/>
      <c r="D58" s="162"/>
      <c r="E58" s="16"/>
      <c r="G58" s="180"/>
      <c r="H58" s="181"/>
      <c r="I58" s="182"/>
      <c r="J58" s="45"/>
      <c r="L58" s="135"/>
      <c r="M58" s="135"/>
      <c r="N58" s="183"/>
    </row>
    <row r="59" spans="1:15" ht="11.25" customHeight="1">
      <c r="A59" s="162" t="s">
        <v>72</v>
      </c>
      <c r="B59" s="162"/>
      <c r="C59" s="162"/>
      <c r="D59" s="162"/>
      <c r="E59" s="43" t="e">
        <f>E58/G8</f>
        <v>#DIV/0!</v>
      </c>
      <c r="G59" s="46" t="s">
        <v>73</v>
      </c>
      <c r="H59" s="47">
        <v>160</v>
      </c>
      <c r="I59" s="48">
        <v>1</v>
      </c>
      <c r="J59" s="49"/>
      <c r="L59" s="153" t="s">
        <v>74</v>
      </c>
      <c r="M59" s="153"/>
      <c r="N59" s="50" t="s">
        <v>75</v>
      </c>
    </row>
    <row r="60" spans="1:15" ht="11.25" customHeight="1">
      <c r="A60" s="162" t="s">
        <v>76</v>
      </c>
      <c r="B60" s="162"/>
      <c r="C60" s="162"/>
      <c r="D60" s="162"/>
      <c r="E60" s="16"/>
      <c r="G60" s="51" t="s">
        <v>77</v>
      </c>
      <c r="H60" s="52">
        <v>240</v>
      </c>
      <c r="I60" s="53">
        <v>2</v>
      </c>
      <c r="J60" s="49"/>
      <c r="L60" s="153" t="s">
        <v>78</v>
      </c>
      <c r="M60" s="153"/>
      <c r="N60" s="54" t="s">
        <v>79</v>
      </c>
      <c r="O60" s="55"/>
    </row>
    <row r="61" spans="1:15" ht="13.5" thickBot="1">
      <c r="A61" s="178" t="s">
        <v>80</v>
      </c>
      <c r="B61" s="178"/>
      <c r="C61" s="178"/>
      <c r="D61" s="178"/>
      <c r="E61" s="56" t="e">
        <f>E60/G8</f>
        <v>#DIV/0!</v>
      </c>
      <c r="G61" s="51" t="s">
        <v>81</v>
      </c>
      <c r="H61" s="52">
        <v>400</v>
      </c>
      <c r="I61" s="53">
        <v>3</v>
      </c>
      <c r="J61" s="49"/>
      <c r="L61" s="153" t="s">
        <v>82</v>
      </c>
      <c r="M61" s="153"/>
      <c r="N61" s="54" t="s">
        <v>83</v>
      </c>
      <c r="O61" s="57"/>
    </row>
    <row r="62" spans="1:15">
      <c r="A62" s="162" t="s">
        <v>84</v>
      </c>
      <c r="B62" s="162"/>
      <c r="C62" s="162"/>
      <c r="D62" s="109" t="s">
        <v>85</v>
      </c>
      <c r="E62" s="58">
        <v>42</v>
      </c>
      <c r="G62" s="51" t="s">
        <v>86</v>
      </c>
      <c r="H62" s="52">
        <v>560</v>
      </c>
      <c r="I62" s="53">
        <v>4</v>
      </c>
      <c r="J62" s="49"/>
      <c r="L62" s="153" t="s">
        <v>87</v>
      </c>
      <c r="M62" s="153"/>
      <c r="N62" s="54" t="s">
        <v>88</v>
      </c>
      <c r="O62" s="57"/>
    </row>
    <row r="63" spans="1:15" ht="13.5" thickBot="1">
      <c r="A63" s="162"/>
      <c r="B63" s="162"/>
      <c r="C63" s="162"/>
      <c r="D63" s="110" t="s">
        <v>89</v>
      </c>
      <c r="E63" s="59">
        <v>58</v>
      </c>
      <c r="G63" s="51" t="s">
        <v>90</v>
      </c>
      <c r="H63" s="52">
        <v>800</v>
      </c>
      <c r="I63" s="53">
        <v>5</v>
      </c>
      <c r="J63" s="49"/>
      <c r="L63" s="153" t="s">
        <v>91</v>
      </c>
      <c r="M63" s="153"/>
      <c r="N63" s="54" t="s">
        <v>92</v>
      </c>
      <c r="O63" s="55"/>
    </row>
    <row r="64" spans="1:15" ht="19.5" thickBot="1">
      <c r="A64" s="60"/>
      <c r="B64" s="61"/>
      <c r="C64" s="61"/>
      <c r="D64" s="49"/>
      <c r="E64" s="49"/>
      <c r="G64" s="62" t="s">
        <v>93</v>
      </c>
      <c r="H64" s="63">
        <v>1200</v>
      </c>
      <c r="I64" s="64" t="s">
        <v>94</v>
      </c>
      <c r="J64" s="49"/>
      <c r="L64" s="153" t="s">
        <v>95</v>
      </c>
      <c r="M64" s="153"/>
      <c r="N64" s="54" t="s">
        <v>96</v>
      </c>
      <c r="O64" s="55"/>
    </row>
    <row r="65" spans="1:15">
      <c r="A65" s="61"/>
      <c r="B65" s="61"/>
      <c r="C65" s="61"/>
      <c r="D65" s="49"/>
      <c r="E65" s="49"/>
      <c r="G65" s="65"/>
      <c r="H65" s="65"/>
      <c r="I65" s="65"/>
      <c r="J65" s="49"/>
      <c r="L65" s="153" t="s">
        <v>97</v>
      </c>
      <c r="M65" s="153"/>
      <c r="N65" s="66" t="s">
        <v>98</v>
      </c>
      <c r="O65" s="55"/>
    </row>
    <row r="66" spans="1:15" ht="14.25" customHeight="1" thickBot="1">
      <c r="A66" s="185" t="s">
        <v>99</v>
      </c>
      <c r="B66" s="185"/>
      <c r="C66" s="185"/>
      <c r="D66" s="185"/>
      <c r="E66" s="185"/>
      <c r="F66" s="185"/>
      <c r="G66" s="67"/>
      <c r="H66" s="185" t="s">
        <v>100</v>
      </c>
      <c r="I66" s="185"/>
      <c r="J66" s="185"/>
      <c r="K66" s="191"/>
      <c r="L66" s="192" t="s">
        <v>101</v>
      </c>
      <c r="M66" s="192"/>
      <c r="N66" s="68" t="s">
        <v>102</v>
      </c>
      <c r="O66" s="55"/>
    </row>
    <row r="67" spans="1:15" ht="11.25" hidden="1" customHeight="1">
      <c r="A67" s="69"/>
      <c r="B67" s="69"/>
      <c r="C67" s="69"/>
      <c r="D67" s="49"/>
      <c r="E67" s="49"/>
      <c r="G67" s="70"/>
      <c r="M67" s="49"/>
      <c r="N67" s="184"/>
      <c r="O67" s="184"/>
    </row>
    <row r="68" spans="1:15" ht="25.35" customHeight="1">
      <c r="A68" s="71" t="s">
        <v>146</v>
      </c>
      <c r="B68" s="71" t="s">
        <v>147</v>
      </c>
      <c r="C68" s="71" t="s">
        <v>148</v>
      </c>
      <c r="D68" s="71" t="s">
        <v>151</v>
      </c>
      <c r="E68" s="71" t="s">
        <v>149</v>
      </c>
      <c r="F68" s="71" t="s">
        <v>150</v>
      </c>
      <c r="G68" s="111"/>
      <c r="H68" s="119" t="s">
        <v>152</v>
      </c>
      <c r="I68" s="119" t="s">
        <v>156</v>
      </c>
      <c r="J68" s="119" t="s">
        <v>153</v>
      </c>
      <c r="K68" s="119" t="s">
        <v>154</v>
      </c>
      <c r="L68" s="119" t="s">
        <v>155</v>
      </c>
      <c r="M68" s="119" t="s">
        <v>103</v>
      </c>
      <c r="N68" s="119" t="s">
        <v>104</v>
      </c>
    </row>
    <row r="69" spans="1:15">
      <c r="A69" s="72"/>
      <c r="B69" s="72"/>
      <c r="C69" s="72"/>
      <c r="D69" s="73"/>
      <c r="E69" s="73"/>
      <c r="F69" s="73"/>
      <c r="G69" s="112"/>
      <c r="H69" s="74"/>
      <c r="I69" s="74"/>
      <c r="J69" s="74"/>
      <c r="K69" s="74"/>
      <c r="L69" s="74"/>
      <c r="M69" s="74">
        <f>I69-J69-K69-L69</f>
        <v>0</v>
      </c>
      <c r="N69" s="75" t="e">
        <f>M69/I69</f>
        <v>#DIV/0!</v>
      </c>
    </row>
    <row r="70" spans="1:15">
      <c r="A70" s="72"/>
      <c r="B70" s="72"/>
      <c r="C70" s="72"/>
      <c r="D70" s="73"/>
      <c r="E70" s="73"/>
      <c r="F70" s="73"/>
      <c r="G70" s="113"/>
      <c r="H70" s="74"/>
      <c r="I70" s="74"/>
      <c r="J70" s="74"/>
      <c r="K70" s="74"/>
      <c r="L70" s="74"/>
      <c r="M70" s="74">
        <f t="shared" ref="M70:M81" si="6">I70-J70-K70-L70</f>
        <v>0</v>
      </c>
      <c r="N70" s="75" t="e">
        <f t="shared" ref="N70:N81" si="7">M70/I70</f>
        <v>#DIV/0!</v>
      </c>
    </row>
    <row r="71" spans="1:15">
      <c r="A71" s="72"/>
      <c r="B71" s="72"/>
      <c r="C71" s="72"/>
      <c r="D71" s="73"/>
      <c r="E71" s="73"/>
      <c r="F71" s="73"/>
      <c r="G71" s="113"/>
      <c r="H71" s="74"/>
      <c r="I71" s="74"/>
      <c r="J71" s="74"/>
      <c r="K71" s="74"/>
      <c r="L71" s="74"/>
      <c r="M71" s="74">
        <f t="shared" si="6"/>
        <v>0</v>
      </c>
      <c r="N71" s="75" t="e">
        <f t="shared" si="7"/>
        <v>#DIV/0!</v>
      </c>
    </row>
    <row r="72" spans="1:15">
      <c r="A72" s="72"/>
      <c r="B72" s="72"/>
      <c r="C72" s="72"/>
      <c r="D72" s="73"/>
      <c r="E72" s="73"/>
      <c r="F72" s="73"/>
      <c r="G72" s="113"/>
      <c r="H72" s="74"/>
      <c r="I72" s="74"/>
      <c r="J72" s="74"/>
      <c r="K72" s="74"/>
      <c r="L72" s="74"/>
      <c r="M72" s="74">
        <f t="shared" si="6"/>
        <v>0</v>
      </c>
      <c r="N72" s="75" t="e">
        <f t="shared" si="7"/>
        <v>#DIV/0!</v>
      </c>
    </row>
    <row r="73" spans="1:15">
      <c r="A73" s="72"/>
      <c r="B73" s="72"/>
      <c r="C73" s="72"/>
      <c r="D73" s="73"/>
      <c r="E73" s="73"/>
      <c r="F73" s="73"/>
      <c r="G73" s="113"/>
      <c r="H73" s="76"/>
      <c r="I73" s="74"/>
      <c r="J73" s="74"/>
      <c r="K73" s="74"/>
      <c r="L73" s="74"/>
      <c r="M73" s="74">
        <f t="shared" si="6"/>
        <v>0</v>
      </c>
      <c r="N73" s="75" t="e">
        <f t="shared" si="7"/>
        <v>#DIV/0!</v>
      </c>
    </row>
    <row r="74" spans="1:15">
      <c r="A74" s="72"/>
      <c r="B74" s="72"/>
      <c r="C74" s="72"/>
      <c r="D74" s="73"/>
      <c r="E74" s="73"/>
      <c r="F74" s="73"/>
      <c r="G74" s="113"/>
      <c r="H74" s="76"/>
      <c r="I74" s="74"/>
      <c r="J74" s="74"/>
      <c r="K74" s="74"/>
      <c r="L74" s="74"/>
      <c r="M74" s="74">
        <f t="shared" si="6"/>
        <v>0</v>
      </c>
      <c r="N74" s="75" t="e">
        <f t="shared" si="7"/>
        <v>#DIV/0!</v>
      </c>
    </row>
    <row r="75" spans="1:15">
      <c r="A75" s="72"/>
      <c r="B75" s="72"/>
      <c r="C75" s="72"/>
      <c r="D75" s="73"/>
      <c r="E75" s="73"/>
      <c r="F75" s="73"/>
      <c r="G75" s="113"/>
      <c r="H75" s="76"/>
      <c r="I75" s="74"/>
      <c r="J75" s="74"/>
      <c r="K75" s="74"/>
      <c r="L75" s="74"/>
      <c r="M75" s="74">
        <f t="shared" si="6"/>
        <v>0</v>
      </c>
      <c r="N75" s="75" t="e">
        <f t="shared" si="7"/>
        <v>#DIV/0!</v>
      </c>
    </row>
    <row r="76" spans="1:15" ht="11.25" customHeight="1">
      <c r="A76" s="72"/>
      <c r="B76" s="72"/>
      <c r="C76" s="72"/>
      <c r="D76" s="73"/>
      <c r="E76" s="73"/>
      <c r="F76" s="73"/>
      <c r="G76" s="113"/>
      <c r="H76" s="76"/>
      <c r="I76" s="74"/>
      <c r="J76" s="74"/>
      <c r="K76" s="74"/>
      <c r="L76" s="74"/>
      <c r="M76" s="74">
        <f t="shared" si="6"/>
        <v>0</v>
      </c>
      <c r="N76" s="75" t="e">
        <f t="shared" si="7"/>
        <v>#DIV/0!</v>
      </c>
    </row>
    <row r="77" spans="1:15" ht="11.25" customHeight="1">
      <c r="A77" s="77"/>
      <c r="B77" s="77"/>
      <c r="C77" s="77"/>
      <c r="D77" s="78"/>
      <c r="E77" s="78"/>
      <c r="F77" s="78"/>
      <c r="G77" s="113"/>
      <c r="H77" s="76"/>
      <c r="I77" s="74"/>
      <c r="J77" s="74"/>
      <c r="K77" s="74"/>
      <c r="L77" s="74"/>
      <c r="M77" s="74">
        <f t="shared" si="6"/>
        <v>0</v>
      </c>
      <c r="N77" s="75" t="e">
        <f t="shared" si="7"/>
        <v>#DIV/0!</v>
      </c>
    </row>
    <row r="78" spans="1:15" ht="11.25" customHeight="1">
      <c r="A78" s="77"/>
      <c r="B78" s="77"/>
      <c r="C78" s="77"/>
      <c r="D78" s="78"/>
      <c r="E78" s="78"/>
      <c r="F78" s="78"/>
      <c r="G78" s="113"/>
      <c r="H78" s="76"/>
      <c r="I78" s="74"/>
      <c r="J78" s="74"/>
      <c r="K78" s="74"/>
      <c r="L78" s="74"/>
      <c r="M78" s="74">
        <f t="shared" si="6"/>
        <v>0</v>
      </c>
      <c r="N78" s="75" t="e">
        <f t="shared" si="7"/>
        <v>#DIV/0!</v>
      </c>
    </row>
    <row r="79" spans="1:15" ht="11.25" customHeight="1">
      <c r="A79" s="77"/>
      <c r="B79" s="77"/>
      <c r="C79" s="77"/>
      <c r="D79" s="78"/>
      <c r="E79" s="78"/>
      <c r="F79" s="78"/>
      <c r="G79" s="113"/>
      <c r="H79" s="76"/>
      <c r="I79" s="74"/>
      <c r="J79" s="74"/>
      <c r="K79" s="74"/>
      <c r="L79" s="74"/>
      <c r="M79" s="74">
        <f t="shared" si="6"/>
        <v>0</v>
      </c>
      <c r="N79" s="75" t="e">
        <f t="shared" si="7"/>
        <v>#DIV/0!</v>
      </c>
    </row>
    <row r="80" spans="1:15">
      <c r="A80" s="77"/>
      <c r="B80" s="77"/>
      <c r="C80" s="77"/>
      <c r="D80" s="78"/>
      <c r="E80" s="78"/>
      <c r="F80" s="78"/>
      <c r="G80" s="113"/>
      <c r="H80" s="76"/>
      <c r="I80" s="74"/>
      <c r="J80" s="74"/>
      <c r="K80" s="74"/>
      <c r="L80" s="74"/>
      <c r="M80" s="74">
        <f t="shared" si="6"/>
        <v>0</v>
      </c>
      <c r="N80" s="75" t="e">
        <f t="shared" si="7"/>
        <v>#DIV/0!</v>
      </c>
    </row>
    <row r="81" spans="1:14">
      <c r="A81" s="79"/>
      <c r="B81" s="80"/>
      <c r="C81" s="80"/>
      <c r="D81" s="81"/>
      <c r="E81" s="81"/>
      <c r="G81" s="113"/>
      <c r="H81" s="76"/>
      <c r="I81" s="74"/>
      <c r="J81" s="74"/>
      <c r="K81" s="74"/>
      <c r="L81" s="74"/>
      <c r="M81" s="74">
        <f t="shared" si="6"/>
        <v>0</v>
      </c>
      <c r="N81" s="75" t="e">
        <f t="shared" si="7"/>
        <v>#DIV/0!</v>
      </c>
    </row>
    <row r="82" spans="1:14" ht="18.75">
      <c r="A82" s="134" t="s">
        <v>157</v>
      </c>
      <c r="B82" s="185"/>
      <c r="C82" s="185"/>
      <c r="D82" s="185"/>
      <c r="E82" s="185"/>
      <c r="G82" s="114"/>
      <c r="H82" s="120" t="s">
        <v>34</v>
      </c>
      <c r="I82" s="121">
        <f>SUM(I69:I80)</f>
        <v>0</v>
      </c>
      <c r="J82" s="121">
        <f>SUM(J69:J80)</f>
        <v>0</v>
      </c>
      <c r="K82" s="121">
        <f>SUM(K69:K80)</f>
        <v>0</v>
      </c>
      <c r="L82" s="121">
        <f>SUM(L69:L80)</f>
        <v>0</v>
      </c>
      <c r="M82" s="74">
        <f>I82-J82-K82-L82</f>
        <v>0</v>
      </c>
      <c r="N82" s="186" t="e">
        <f>M82/I82</f>
        <v>#DIV/0!</v>
      </c>
    </row>
    <row r="83" spans="1:14" ht="11.25" customHeight="1">
      <c r="A83" s="82"/>
      <c r="B83" s="83"/>
      <c r="C83" s="84"/>
      <c r="D83" s="20" t="s">
        <v>105</v>
      </c>
      <c r="E83" s="20" t="s">
        <v>106</v>
      </c>
      <c r="G83" s="10"/>
      <c r="H83" s="10" t="s">
        <v>107</v>
      </c>
      <c r="I83" s="4" t="s">
        <v>108</v>
      </c>
      <c r="K83" s="187" t="s">
        <v>109</v>
      </c>
      <c r="L83" s="187"/>
      <c r="M83" s="187"/>
      <c r="N83" s="186"/>
    </row>
    <row r="84" spans="1:14">
      <c r="A84" s="188" t="s">
        <v>110</v>
      </c>
      <c r="B84" s="188"/>
      <c r="C84" s="188"/>
      <c r="D84" s="85" t="s">
        <v>98</v>
      </c>
      <c r="E84" s="20"/>
      <c r="G84" s="86"/>
      <c r="H84" s="86" t="s">
        <v>111</v>
      </c>
      <c r="I84" s="4" t="s">
        <v>112</v>
      </c>
      <c r="J84" s="49"/>
      <c r="K84" s="49"/>
      <c r="L84" s="49"/>
      <c r="M84" s="49"/>
      <c r="N84" s="87"/>
    </row>
    <row r="85" spans="1:14" ht="11.25" customHeight="1">
      <c r="A85" s="188" t="s">
        <v>113</v>
      </c>
      <c r="B85" s="188"/>
      <c r="C85" s="188"/>
      <c r="D85" s="85" t="s">
        <v>102</v>
      </c>
      <c r="E85" s="20"/>
      <c r="G85" s="189" t="s">
        <v>114</v>
      </c>
      <c r="H85" s="189"/>
      <c r="I85" s="49"/>
      <c r="J85" s="49"/>
      <c r="K85" s="190"/>
      <c r="L85" s="190"/>
      <c r="M85" s="190"/>
      <c r="N85" s="190"/>
    </row>
    <row r="86" spans="1:14">
      <c r="A86" s="198"/>
      <c r="B86" s="198"/>
      <c r="C86" s="198"/>
      <c r="D86" s="88"/>
      <c r="E86" s="88"/>
      <c r="G86" s="89" t="s">
        <v>115</v>
      </c>
      <c r="H86" s="90" t="s">
        <v>116</v>
      </c>
      <c r="I86" s="4" t="s">
        <v>117</v>
      </c>
      <c r="K86" s="190"/>
      <c r="L86" s="190"/>
      <c r="M86" s="190"/>
      <c r="N86" s="190"/>
    </row>
    <row r="87" spans="1:14" ht="18.600000000000001" customHeight="1">
      <c r="A87" s="166" t="s">
        <v>118</v>
      </c>
      <c r="B87" s="167"/>
      <c r="C87" s="167"/>
      <c r="D87" s="167"/>
      <c r="E87" s="167"/>
      <c r="F87" s="199"/>
      <c r="G87" s="22" t="s">
        <v>119</v>
      </c>
      <c r="H87" s="122" t="e">
        <f>G37</f>
        <v>#DIV/0!</v>
      </c>
      <c r="I87" s="200" t="s">
        <v>120</v>
      </c>
      <c r="J87" s="200"/>
      <c r="K87" s="200"/>
      <c r="L87" s="200"/>
      <c r="M87" s="200"/>
      <c r="N87" s="200"/>
    </row>
    <row r="88" spans="1:14">
      <c r="A88" s="193" t="s">
        <v>166</v>
      </c>
      <c r="B88" s="193"/>
      <c r="C88" s="193"/>
      <c r="D88" s="193"/>
      <c r="E88" s="194"/>
      <c r="F88" s="194"/>
      <c r="H88" s="125" t="s">
        <v>161</v>
      </c>
      <c r="I88" s="126" t="s">
        <v>159</v>
      </c>
      <c r="J88" s="126" t="s">
        <v>162</v>
      </c>
      <c r="K88" s="126" t="s">
        <v>160</v>
      </c>
      <c r="L88" s="126" t="s">
        <v>164</v>
      </c>
      <c r="M88" s="126" t="s">
        <v>163</v>
      </c>
      <c r="N88" s="126" t="s">
        <v>121</v>
      </c>
    </row>
    <row r="89" spans="1:14">
      <c r="A89" s="193" t="s">
        <v>122</v>
      </c>
      <c r="B89" s="193"/>
      <c r="C89" s="193"/>
      <c r="D89" s="193"/>
      <c r="E89" s="194"/>
      <c r="F89" s="194"/>
      <c r="H89" s="74"/>
      <c r="I89" s="91"/>
      <c r="J89" s="91"/>
      <c r="K89" s="74"/>
      <c r="L89" s="74"/>
      <c r="M89" s="74"/>
      <c r="N89" s="92"/>
    </row>
    <row r="90" spans="1:14">
      <c r="A90" s="193" t="s">
        <v>123</v>
      </c>
      <c r="B90" s="193"/>
      <c r="C90" s="193"/>
      <c r="D90" s="193"/>
      <c r="E90" s="195"/>
      <c r="F90" s="195"/>
      <c r="H90" s="74"/>
      <c r="I90" s="91"/>
      <c r="J90" s="91"/>
      <c r="K90" s="74"/>
      <c r="L90" s="74"/>
      <c r="M90" s="74"/>
      <c r="N90" s="92"/>
    </row>
    <row r="91" spans="1:14">
      <c r="A91" s="196" t="s">
        <v>124</v>
      </c>
      <c r="B91" s="196"/>
      <c r="C91" s="196"/>
      <c r="D91" s="196"/>
      <c r="E91" s="197"/>
      <c r="F91" s="197"/>
      <c r="H91" s="74"/>
      <c r="I91" s="91"/>
      <c r="J91" s="91"/>
      <c r="K91" s="74"/>
      <c r="L91" s="74"/>
      <c r="M91" s="74"/>
      <c r="N91" s="92"/>
    </row>
    <row r="92" spans="1:14">
      <c r="A92" s="210" t="s">
        <v>118</v>
      </c>
      <c r="B92" s="210"/>
      <c r="C92" s="210"/>
      <c r="D92" s="210"/>
      <c r="E92" s="93" t="s">
        <v>125</v>
      </c>
      <c r="F92" s="94"/>
      <c r="H92" s="74"/>
      <c r="I92" s="91"/>
      <c r="J92" s="91"/>
      <c r="K92" s="74"/>
      <c r="L92" s="74"/>
      <c r="M92" s="74"/>
      <c r="N92" s="92"/>
    </row>
    <row r="93" spans="1:14">
      <c r="A93" s="210"/>
      <c r="B93" s="210"/>
      <c r="C93" s="210"/>
      <c r="D93" s="210"/>
      <c r="E93" s="95" t="s">
        <v>126</v>
      </c>
      <c r="F93" s="59"/>
      <c r="H93" s="74"/>
      <c r="I93" s="91"/>
      <c r="J93" s="91"/>
      <c r="K93" s="74"/>
      <c r="L93" s="74"/>
      <c r="M93" s="74"/>
      <c r="N93" s="92"/>
    </row>
    <row r="94" spans="1:14" ht="11.25" customHeight="1">
      <c r="A94" s="211" t="s">
        <v>127</v>
      </c>
      <c r="B94" s="211"/>
      <c r="C94" s="211"/>
      <c r="D94" s="211"/>
      <c r="E94" s="211"/>
      <c r="F94" s="211"/>
      <c r="G94" s="211"/>
      <c r="H94" s="96"/>
      <c r="I94" s="91"/>
      <c r="J94" s="91"/>
      <c r="K94" s="74"/>
      <c r="L94" s="74"/>
      <c r="M94" s="74"/>
      <c r="N94" s="92"/>
    </row>
    <row r="95" spans="1:14" ht="10.5" customHeight="1" thickBot="1">
      <c r="A95" s="211"/>
      <c r="B95" s="211"/>
      <c r="C95" s="211"/>
      <c r="D95" s="211"/>
      <c r="E95" s="211"/>
      <c r="F95" s="211"/>
      <c r="G95" s="211"/>
      <c r="H95" s="96"/>
      <c r="I95" s="91"/>
      <c r="J95" s="91"/>
      <c r="K95" s="74"/>
      <c r="L95" s="74"/>
      <c r="M95" s="74"/>
      <c r="N95" s="92"/>
    </row>
    <row r="96" spans="1:14" ht="15" customHeight="1" thickBot="1">
      <c r="A96" s="212" t="s">
        <v>128</v>
      </c>
      <c r="B96" s="213"/>
      <c r="C96" s="213"/>
      <c r="D96" s="214"/>
      <c r="E96" s="124" t="s">
        <v>158</v>
      </c>
      <c r="H96" s="74"/>
      <c r="I96" s="91"/>
      <c r="J96" s="91"/>
      <c r="K96" s="74"/>
      <c r="L96" s="74"/>
      <c r="M96" s="74"/>
      <c r="N96" s="92"/>
    </row>
    <row r="97" spans="1:15" ht="15" customHeight="1" thickBot="1">
      <c r="A97" s="215" t="s">
        <v>129</v>
      </c>
      <c r="B97" s="216"/>
      <c r="C97" s="216"/>
      <c r="D97" s="217"/>
      <c r="E97" s="124" t="s">
        <v>116</v>
      </c>
      <c r="H97" s="74"/>
      <c r="I97" s="91"/>
      <c r="J97" s="91"/>
      <c r="K97" s="74"/>
      <c r="L97" s="74"/>
      <c r="M97" s="74"/>
      <c r="N97" s="92"/>
    </row>
    <row r="98" spans="1:15" ht="12" customHeight="1" thickBot="1">
      <c r="A98" s="97"/>
      <c r="E98" s="123"/>
      <c r="H98" s="218" t="s">
        <v>34</v>
      </c>
      <c r="I98" s="218"/>
      <c r="J98" s="218"/>
      <c r="K98" s="218"/>
      <c r="L98" s="116"/>
      <c r="M98" s="98">
        <f>SUM(M89:M97)</f>
        <v>0</v>
      </c>
      <c r="N98" s="99"/>
    </row>
    <row r="99" spans="1:15" ht="6" customHeight="1" thickBot="1">
      <c r="A99" s="5"/>
      <c r="N99" s="6"/>
    </row>
    <row r="100" spans="1:15" ht="18" customHeight="1">
      <c r="A100" s="219" t="s">
        <v>130</v>
      </c>
      <c r="B100" s="219"/>
      <c r="C100" s="219"/>
      <c r="D100" s="220" t="e">
        <f>H87</f>
        <v>#DIV/0!</v>
      </c>
      <c r="E100" s="220"/>
      <c r="F100" s="100" t="s">
        <v>131</v>
      </c>
      <c r="G100" s="101"/>
      <c r="H100" s="221" t="s">
        <v>132</v>
      </c>
      <c r="I100" s="222"/>
      <c r="J100" s="223"/>
      <c r="K100" s="224" t="s">
        <v>133</v>
      </c>
      <c r="L100" s="224"/>
      <c r="M100" s="224"/>
      <c r="N100" s="224"/>
      <c r="O100" s="70"/>
    </row>
    <row r="101" spans="1:15" ht="18" customHeight="1" thickBot="1">
      <c r="A101" s="201" t="s">
        <v>134</v>
      </c>
      <c r="B101" s="201"/>
      <c r="C101" s="201"/>
      <c r="D101" s="201"/>
      <c r="E101" s="202" t="s">
        <v>135</v>
      </c>
      <c r="F101" s="202"/>
      <c r="G101" s="202"/>
      <c r="H101" s="203" t="s">
        <v>136</v>
      </c>
      <c r="I101" s="204"/>
      <c r="J101" s="205"/>
      <c r="K101" s="206"/>
      <c r="L101" s="206"/>
      <c r="M101" s="206"/>
      <c r="N101" s="206"/>
      <c r="O101" s="10"/>
    </row>
    <row r="102" spans="1:15" ht="14.25" customHeight="1">
      <c r="A102" s="207" t="s">
        <v>165</v>
      </c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102"/>
    </row>
    <row r="103" spans="1:15" ht="14.25" customHeight="1">
      <c r="A103" s="208"/>
      <c r="B103" s="208"/>
      <c r="C103" s="208"/>
      <c r="D103" s="208"/>
      <c r="E103" s="208"/>
      <c r="F103" s="208"/>
      <c r="G103" s="208"/>
      <c r="H103" s="103"/>
      <c r="I103" s="103"/>
      <c r="J103" s="103"/>
      <c r="K103" s="209"/>
      <c r="L103" s="209"/>
      <c r="M103" s="209"/>
      <c r="N103" s="209"/>
    </row>
    <row r="104" spans="1:15" ht="8.25" customHeight="1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</row>
  </sheetData>
  <mergeCells count="119">
    <mergeCell ref="H101:J101"/>
    <mergeCell ref="L47:M52"/>
    <mergeCell ref="L53:M58"/>
    <mergeCell ref="L59:M59"/>
    <mergeCell ref="L60:M60"/>
    <mergeCell ref="L61:M61"/>
    <mergeCell ref="L62:M62"/>
    <mergeCell ref="L63:M63"/>
    <mergeCell ref="L64:M64"/>
    <mergeCell ref="L65:M65"/>
    <mergeCell ref="L66:M66"/>
    <mergeCell ref="K100:N100"/>
    <mergeCell ref="N53:N54"/>
    <mergeCell ref="N47:N48"/>
    <mergeCell ref="N49:N50"/>
    <mergeCell ref="N51:N52"/>
    <mergeCell ref="A101:D101"/>
    <mergeCell ref="E101:G101"/>
    <mergeCell ref="K101:N101"/>
    <mergeCell ref="A102:N102"/>
    <mergeCell ref="A103:G103"/>
    <mergeCell ref="K103:N103"/>
    <mergeCell ref="A8:B8"/>
    <mergeCell ref="C8:D8"/>
    <mergeCell ref="A6:B6"/>
    <mergeCell ref="C6:F6"/>
    <mergeCell ref="E8:F8"/>
    <mergeCell ref="H8:I8"/>
    <mergeCell ref="A46:E46"/>
    <mergeCell ref="G56:I56"/>
    <mergeCell ref="G46:K46"/>
    <mergeCell ref="A90:D90"/>
    <mergeCell ref="E90:F90"/>
    <mergeCell ref="A91:D91"/>
    <mergeCell ref="E91:F91"/>
    <mergeCell ref="A92:D93"/>
    <mergeCell ref="A94:G95"/>
    <mergeCell ref="H98:K98"/>
    <mergeCell ref="A100:C100"/>
    <mergeCell ref="D100:E100"/>
    <mergeCell ref="A96:D96"/>
    <mergeCell ref="A97:D97"/>
    <mergeCell ref="H100:J100"/>
    <mergeCell ref="A85:C85"/>
    <mergeCell ref="G85:H85"/>
    <mergeCell ref="K85:N85"/>
    <mergeCell ref="A86:C86"/>
    <mergeCell ref="K86:N86"/>
    <mergeCell ref="I87:N87"/>
    <mergeCell ref="A88:D88"/>
    <mergeCell ref="E88:F88"/>
    <mergeCell ref="A89:D89"/>
    <mergeCell ref="E89:F89"/>
    <mergeCell ref="A87:F87"/>
    <mergeCell ref="A59:D59"/>
    <mergeCell ref="A60:D60"/>
    <mergeCell ref="A61:D61"/>
    <mergeCell ref="A62:C63"/>
    <mergeCell ref="N67:O67"/>
    <mergeCell ref="N82:N83"/>
    <mergeCell ref="K83:M83"/>
    <mergeCell ref="A84:C84"/>
    <mergeCell ref="A66:F66"/>
    <mergeCell ref="H66:K66"/>
    <mergeCell ref="A82:E82"/>
    <mergeCell ref="A55:D55"/>
    <mergeCell ref="N55:N56"/>
    <mergeCell ref="A56:D56"/>
    <mergeCell ref="A57:D57"/>
    <mergeCell ref="G57:G58"/>
    <mergeCell ref="H57:H58"/>
    <mergeCell ref="I57:I58"/>
    <mergeCell ref="N57:N58"/>
    <mergeCell ref="A58:D58"/>
    <mergeCell ref="G35:H35"/>
    <mergeCell ref="G36:H36"/>
    <mergeCell ref="G37:H38"/>
    <mergeCell ref="G40:H40"/>
    <mergeCell ref="G41:H42"/>
    <mergeCell ref="A47:D47"/>
    <mergeCell ref="G47:G54"/>
    <mergeCell ref="H47:K47"/>
    <mergeCell ref="A53:D53"/>
    <mergeCell ref="I53:K53"/>
    <mergeCell ref="A48:D48"/>
    <mergeCell ref="I48:K48"/>
    <mergeCell ref="A49:D49"/>
    <mergeCell ref="A50:D50"/>
    <mergeCell ref="H50:K50"/>
    <mergeCell ref="A51:D51"/>
    <mergeCell ref="I51:K51"/>
    <mergeCell ref="A52:D52"/>
    <mergeCell ref="I52:K52"/>
    <mergeCell ref="A54:D54"/>
    <mergeCell ref="I54:K54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A10:D10"/>
    <mergeCell ref="G11:H22"/>
    <mergeCell ref="G23:G24"/>
    <mergeCell ref="H23:H24"/>
    <mergeCell ref="L8:M8"/>
    <mergeCell ref="L6:M6"/>
    <mergeCell ref="A1:C3"/>
    <mergeCell ref="D1:I1"/>
    <mergeCell ref="K1:N1"/>
    <mergeCell ref="D2:I2"/>
    <mergeCell ref="K2:N2"/>
    <mergeCell ref="D3:I3"/>
    <mergeCell ref="K3:N3"/>
    <mergeCell ref="A4:F4"/>
    <mergeCell ref="G4:N4"/>
  </mergeCells>
  <conditionalFormatting sqref="D100:E100">
    <cfRule type="expression" dxfId="23" priority="9">
      <formula>NOT(ISERROR(SEARCH("REPROVADO",D100)))</formula>
    </cfRule>
  </conditionalFormatting>
  <conditionalFormatting sqref="E47:E50">
    <cfRule type="cellIs" dxfId="22" priority="12" operator="greaterThan">
      <formula>$Q$45</formula>
    </cfRule>
  </conditionalFormatting>
  <conditionalFormatting sqref="E48:E49">
    <cfRule type="cellIs" dxfId="21" priority="13" operator="greaterThan">
      <formula>$Q$45</formula>
    </cfRule>
  </conditionalFormatting>
  <conditionalFormatting sqref="E53:E54">
    <cfRule type="cellIs" dxfId="20" priority="19" operator="greaterThan">
      <formula>$Q$45</formula>
    </cfRule>
  </conditionalFormatting>
  <conditionalFormatting sqref="E57">
    <cfRule type="cellIs" dxfId="19" priority="18" operator="greaterThan">
      <formula>$Q$45</formula>
    </cfRule>
  </conditionalFormatting>
  <conditionalFormatting sqref="G37">
    <cfRule type="expression" dxfId="18" priority="4" stopIfTrue="1">
      <formula>NOT(ISERROR(SEARCH("REPROVADO",G37)))</formula>
    </cfRule>
    <cfRule type="expression" dxfId="17" priority="5" stopIfTrue="1">
      <formula>NOT(ISERROR(SEARCH("APROVADO",G37)))</formula>
    </cfRule>
    <cfRule type="expression" dxfId="16" priority="6" stopIfTrue="1">
      <formula>NOT(ISERROR(SEARCH("REPROVADO",#REF!)))</formula>
    </cfRule>
  </conditionalFormatting>
  <conditionalFormatting sqref="G41">
    <cfRule type="expression" dxfId="15" priority="1" stopIfTrue="1">
      <formula>NOT(ISERROR(SEARCH("REPROVADO",G41)))</formula>
    </cfRule>
    <cfRule type="expression" dxfId="14" priority="2" stopIfTrue="1">
      <formula>NOT(ISERROR(SEARCH("APROVADO",G41)))</formula>
    </cfRule>
    <cfRule type="expression" dxfId="13" priority="3" stopIfTrue="1">
      <formula>NOT(ISERROR(SEARCH("REPROVADO",#REF!)))</formula>
    </cfRule>
  </conditionalFormatting>
  <conditionalFormatting sqref="G44">
    <cfRule type="expression" dxfId="12" priority="8">
      <formula>NOT(ISERROR(SEARCH("REPROVADO",G44)))</formula>
    </cfRule>
  </conditionalFormatting>
  <printOptions horizontalCentered="1" verticalCentered="1"/>
  <pageMargins left="0.15763888888888899" right="0.15763888888888899" top="0.196527777777778" bottom="0.196527777777778" header="0.51180555555555496" footer="0.51180555555555496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535E1-608C-4F5B-AE24-73D6BC60AC84}">
  <sheetPr>
    <pageSetUpPr fitToPage="1"/>
  </sheetPr>
  <dimension ref="A1:AMK104"/>
  <sheetViews>
    <sheetView tabSelected="1" zoomScaleNormal="100" workbookViewId="0">
      <selection activeCell="C6" sqref="C6:F6"/>
    </sheetView>
  </sheetViews>
  <sheetFormatPr defaultColWidth="9.140625" defaultRowHeight="12.75"/>
  <cols>
    <col min="1" max="1" width="8.7109375" style="4" customWidth="1"/>
    <col min="2" max="2" width="7.85546875" style="4" customWidth="1"/>
    <col min="3" max="3" width="10.85546875" style="4" customWidth="1"/>
    <col min="4" max="4" width="11.85546875" style="4" customWidth="1"/>
    <col min="5" max="5" width="10.5703125" style="4" customWidth="1"/>
    <col min="6" max="6" width="9.7109375" style="4" customWidth="1"/>
    <col min="7" max="7" width="13" style="4" customWidth="1"/>
    <col min="8" max="8" width="11.5703125" style="4" customWidth="1"/>
    <col min="9" max="9" width="14.5703125" style="4" customWidth="1"/>
    <col min="10" max="10" width="11" style="4" customWidth="1"/>
    <col min="11" max="12" width="12.28515625" style="4" customWidth="1"/>
    <col min="13" max="13" width="9.5703125" style="4" customWidth="1"/>
    <col min="14" max="14" width="10.5703125" style="4" customWidth="1"/>
    <col min="15" max="15" width="5.140625" style="4" customWidth="1"/>
    <col min="16" max="258" width="9.140625" style="4"/>
    <col min="259" max="259" width="8.7109375" style="4" customWidth="1"/>
    <col min="260" max="260" width="5.7109375" style="4" customWidth="1"/>
    <col min="261" max="261" width="12.85546875" style="4" customWidth="1"/>
    <col min="262" max="262" width="10.28515625" style="4" customWidth="1"/>
    <col min="263" max="263" width="10.5703125" style="4" customWidth="1"/>
    <col min="264" max="264" width="11.7109375" style="4" customWidth="1"/>
    <col min="265" max="265" width="14.5703125" style="4" customWidth="1"/>
    <col min="266" max="266" width="11.5703125" style="4" customWidth="1"/>
    <col min="267" max="267" width="12.5703125" style="4" customWidth="1"/>
    <col min="268" max="268" width="12.28515625" style="4" customWidth="1"/>
    <col min="269" max="269" width="10.85546875" style="4" customWidth="1"/>
    <col min="270" max="270" width="10.140625" style="4" customWidth="1"/>
    <col min="271" max="271" width="5.140625" style="4" customWidth="1"/>
    <col min="272" max="514" width="9.140625" style="4"/>
    <col min="515" max="515" width="8.7109375" style="4" customWidth="1"/>
    <col min="516" max="516" width="5.7109375" style="4" customWidth="1"/>
    <col min="517" max="517" width="12.85546875" style="4" customWidth="1"/>
    <col min="518" max="518" width="10.28515625" style="4" customWidth="1"/>
    <col min="519" max="519" width="10.5703125" style="4" customWidth="1"/>
    <col min="520" max="520" width="11.7109375" style="4" customWidth="1"/>
    <col min="521" max="521" width="14.5703125" style="4" customWidth="1"/>
    <col min="522" max="522" width="11.5703125" style="4" customWidth="1"/>
    <col min="523" max="523" width="12.5703125" style="4" customWidth="1"/>
    <col min="524" max="524" width="12.28515625" style="4" customWidth="1"/>
    <col min="525" max="525" width="10.85546875" style="4" customWidth="1"/>
    <col min="526" max="526" width="10.140625" style="4" customWidth="1"/>
    <col min="527" max="527" width="5.140625" style="4" customWidth="1"/>
    <col min="528" max="770" width="9.140625" style="4"/>
    <col min="771" max="771" width="8.7109375" style="4" customWidth="1"/>
    <col min="772" max="772" width="5.7109375" style="4" customWidth="1"/>
    <col min="773" max="773" width="12.85546875" style="4" customWidth="1"/>
    <col min="774" max="774" width="10.28515625" style="4" customWidth="1"/>
    <col min="775" max="775" width="10.5703125" style="4" customWidth="1"/>
    <col min="776" max="776" width="11.7109375" style="4" customWidth="1"/>
    <col min="777" max="777" width="14.5703125" style="4" customWidth="1"/>
    <col min="778" max="778" width="11.5703125" style="4" customWidth="1"/>
    <col min="779" max="779" width="12.5703125" style="4" customWidth="1"/>
    <col min="780" max="780" width="12.28515625" style="4" customWidth="1"/>
    <col min="781" max="781" width="10.85546875" style="4" customWidth="1"/>
    <col min="782" max="782" width="10.140625" style="4" customWidth="1"/>
    <col min="783" max="783" width="5.140625" style="4" customWidth="1"/>
    <col min="784" max="1025" width="9.140625" style="4"/>
  </cols>
  <sheetData>
    <row r="1" spans="1:16" ht="11.1" customHeight="1">
      <c r="A1" s="129"/>
      <c r="B1" s="129"/>
      <c r="C1" s="129"/>
      <c r="D1" s="130" t="s">
        <v>0</v>
      </c>
      <c r="E1" s="130"/>
      <c r="F1" s="130"/>
      <c r="G1" s="130"/>
      <c r="H1" s="130"/>
      <c r="I1" s="130"/>
      <c r="J1" s="3"/>
      <c r="K1" s="131" t="s">
        <v>1</v>
      </c>
      <c r="L1" s="131"/>
      <c r="M1" s="131"/>
      <c r="N1" s="131"/>
    </row>
    <row r="2" spans="1:16" ht="17.25" customHeight="1">
      <c r="A2" s="129"/>
      <c r="B2" s="129"/>
      <c r="C2" s="129"/>
      <c r="D2" s="132" t="s">
        <v>2</v>
      </c>
      <c r="E2" s="132"/>
      <c r="F2" s="132"/>
      <c r="G2" s="132"/>
      <c r="H2" s="132"/>
      <c r="I2" s="132"/>
      <c r="J2" s="2"/>
      <c r="K2" s="131" t="s">
        <v>3</v>
      </c>
      <c r="L2" s="131"/>
      <c r="M2" s="131"/>
      <c r="N2" s="131"/>
    </row>
    <row r="3" spans="1:16" ht="11.1" customHeight="1">
      <c r="A3" s="129"/>
      <c r="B3" s="129"/>
      <c r="C3" s="129"/>
      <c r="D3" s="133" t="s">
        <v>4</v>
      </c>
      <c r="E3" s="133"/>
      <c r="F3" s="133"/>
      <c r="G3" s="133"/>
      <c r="H3" s="133"/>
      <c r="I3" s="133"/>
      <c r="J3" s="1"/>
      <c r="K3" s="131" t="s">
        <v>5</v>
      </c>
      <c r="L3" s="131"/>
      <c r="M3" s="131"/>
      <c r="N3" s="131"/>
    </row>
    <row r="4" spans="1:16" ht="13.35" customHeight="1">
      <c r="A4" s="131" t="s">
        <v>6</v>
      </c>
      <c r="B4" s="131"/>
      <c r="C4" s="131"/>
      <c r="D4" s="131"/>
      <c r="E4" s="131"/>
      <c r="F4" s="131"/>
      <c r="G4" s="131" t="s">
        <v>7</v>
      </c>
      <c r="H4" s="131"/>
      <c r="I4" s="131"/>
      <c r="J4" s="131"/>
      <c r="K4" s="131"/>
      <c r="L4" s="131"/>
      <c r="M4" s="131"/>
      <c r="N4" s="131"/>
    </row>
    <row r="5" spans="1:16" ht="7.5" customHeight="1" thickBot="1">
      <c r="A5" s="5"/>
      <c r="N5" s="6"/>
    </row>
    <row r="6" spans="1:16" ht="16.350000000000001" customHeight="1" thickBot="1">
      <c r="A6" s="140" t="s">
        <v>8</v>
      </c>
      <c r="B6" s="141"/>
      <c r="C6" s="142"/>
      <c r="D6" s="143"/>
      <c r="E6" s="143"/>
      <c r="F6" s="144"/>
      <c r="G6" s="9" t="s">
        <v>137</v>
      </c>
      <c r="H6" s="7"/>
      <c r="I6" s="105" t="s">
        <v>138</v>
      </c>
      <c r="J6" s="7" t="s">
        <v>139</v>
      </c>
      <c r="K6" s="9" t="s">
        <v>9</v>
      </c>
      <c r="L6" s="145"/>
      <c r="M6" s="146"/>
      <c r="N6" s="127"/>
      <c r="O6" s="10"/>
      <c r="P6" s="11"/>
    </row>
    <row r="7" spans="1:16" ht="6.75" customHeight="1" thickBot="1">
      <c r="A7" s="1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3"/>
      <c r="O7" s="11"/>
      <c r="P7" s="11"/>
    </row>
    <row r="8" spans="1:16" ht="16.5" customHeight="1" thickBot="1">
      <c r="A8" s="140" t="s">
        <v>10</v>
      </c>
      <c r="B8" s="147"/>
      <c r="C8" s="148"/>
      <c r="D8" s="149"/>
      <c r="E8" s="150" t="s">
        <v>11</v>
      </c>
      <c r="F8" s="147"/>
      <c r="G8" s="15"/>
      <c r="H8" s="150" t="s">
        <v>12</v>
      </c>
      <c r="I8" s="147"/>
      <c r="J8" s="108" t="e">
        <f>G8/C8</f>
        <v>#DIV/0!</v>
      </c>
      <c r="K8" s="9" t="s">
        <v>15</v>
      </c>
      <c r="L8" s="151"/>
      <c r="M8" s="152"/>
      <c r="N8" s="128"/>
      <c r="O8" s="11"/>
      <c r="P8" s="11"/>
    </row>
    <row r="9" spans="1:16" ht="7.5" customHeight="1" thickBot="1">
      <c r="A9" s="1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13"/>
      <c r="O9" s="11"/>
      <c r="P9" s="11"/>
    </row>
    <row r="10" spans="1:16" ht="15.75" customHeight="1" thickBot="1">
      <c r="A10" s="134" t="s">
        <v>13</v>
      </c>
      <c r="B10" s="134"/>
      <c r="C10" s="134"/>
      <c r="D10" s="134"/>
      <c r="E10" s="9" t="s">
        <v>14</v>
      </c>
      <c r="F10" s="7"/>
      <c r="G10" s="9" t="s">
        <v>140</v>
      </c>
      <c r="H10" s="107"/>
      <c r="I10" s="105" t="s">
        <v>141</v>
      </c>
      <c r="J10" s="7"/>
      <c r="K10" s="9" t="s">
        <v>142</v>
      </c>
      <c r="L10" s="14"/>
      <c r="M10" s="118"/>
      <c r="N10" s="106"/>
      <c r="O10" s="11"/>
      <c r="P10" s="11"/>
    </row>
    <row r="11" spans="1:16" ht="12" customHeight="1">
      <c r="A11" s="16" t="s">
        <v>17</v>
      </c>
      <c r="B11" s="16" t="s">
        <v>18</v>
      </c>
      <c r="C11" s="17" t="s">
        <v>19</v>
      </c>
      <c r="D11" s="16" t="s">
        <v>20</v>
      </c>
      <c r="E11" s="18"/>
      <c r="F11" s="18"/>
      <c r="G11" s="135" t="s">
        <v>21</v>
      </c>
      <c r="H11" s="136"/>
      <c r="N11" s="6"/>
    </row>
    <row r="12" spans="1:16" ht="12" customHeight="1">
      <c r="A12" s="19">
        <v>4450</v>
      </c>
      <c r="B12" s="20"/>
      <c r="C12" s="21">
        <f t="shared" ref="C12:C43" si="0">A12*A12*B12</f>
        <v>0</v>
      </c>
      <c r="D12" s="21">
        <f t="shared" ref="D12:D43" si="1">C12/A12</f>
        <v>0</v>
      </c>
      <c r="E12" s="22"/>
      <c r="F12" s="22"/>
      <c r="G12" s="135"/>
      <c r="H12" s="136"/>
      <c r="N12" s="6"/>
    </row>
    <row r="13" spans="1:16" ht="12" customHeight="1">
      <c r="A13" s="19">
        <v>4550</v>
      </c>
      <c r="B13" s="20"/>
      <c r="C13" s="21">
        <f t="shared" si="0"/>
        <v>0</v>
      </c>
      <c r="D13" s="21">
        <f t="shared" si="1"/>
        <v>0</v>
      </c>
      <c r="E13" s="22"/>
      <c r="F13" s="22"/>
      <c r="G13" s="135"/>
      <c r="H13" s="136"/>
      <c r="N13" s="6"/>
    </row>
    <row r="14" spans="1:16" ht="12" customHeight="1">
      <c r="A14" s="19">
        <v>4650</v>
      </c>
      <c r="B14" s="20"/>
      <c r="C14" s="21">
        <f t="shared" si="0"/>
        <v>0</v>
      </c>
      <c r="D14" s="21">
        <f t="shared" si="1"/>
        <v>0</v>
      </c>
      <c r="E14" s="22"/>
      <c r="F14" s="22"/>
      <c r="G14" s="135"/>
      <c r="H14" s="136"/>
      <c r="N14" s="6"/>
    </row>
    <row r="15" spans="1:16" ht="12" customHeight="1">
      <c r="A15" s="19">
        <v>4750</v>
      </c>
      <c r="B15" s="20"/>
      <c r="C15" s="21">
        <f t="shared" si="0"/>
        <v>0</v>
      </c>
      <c r="D15" s="21">
        <f t="shared" si="1"/>
        <v>0</v>
      </c>
      <c r="E15" s="22"/>
      <c r="F15" s="22"/>
      <c r="G15" s="135"/>
      <c r="H15" s="136"/>
      <c r="N15" s="6"/>
    </row>
    <row r="16" spans="1:16" ht="12" customHeight="1">
      <c r="A16" s="19">
        <v>4850</v>
      </c>
      <c r="B16" s="20"/>
      <c r="C16" s="21">
        <f t="shared" si="0"/>
        <v>0</v>
      </c>
      <c r="D16" s="21">
        <f t="shared" si="1"/>
        <v>0</v>
      </c>
      <c r="E16" s="22"/>
      <c r="F16" s="22"/>
      <c r="G16" s="135"/>
      <c r="H16" s="136"/>
      <c r="N16" s="6"/>
    </row>
    <row r="17" spans="1:14" ht="12" customHeight="1">
      <c r="A17" s="19">
        <v>4950</v>
      </c>
      <c r="B17" s="20"/>
      <c r="C17" s="21">
        <f t="shared" si="0"/>
        <v>0</v>
      </c>
      <c r="D17" s="21">
        <f t="shared" si="1"/>
        <v>0</v>
      </c>
      <c r="E17" s="22"/>
      <c r="F17" s="22"/>
      <c r="G17" s="135"/>
      <c r="H17" s="136"/>
      <c r="N17" s="6"/>
    </row>
    <row r="18" spans="1:14" ht="12" customHeight="1">
      <c r="A18" s="19">
        <v>5050</v>
      </c>
      <c r="B18" s="20"/>
      <c r="C18" s="21">
        <f t="shared" si="0"/>
        <v>0</v>
      </c>
      <c r="D18" s="21">
        <f t="shared" si="1"/>
        <v>0</v>
      </c>
      <c r="E18" s="22"/>
      <c r="F18" s="22"/>
      <c r="G18" s="135"/>
      <c r="H18" s="136"/>
      <c r="N18" s="6"/>
    </row>
    <row r="19" spans="1:14" ht="12" customHeight="1">
      <c r="A19" s="19">
        <v>5150</v>
      </c>
      <c r="B19" s="20"/>
      <c r="C19" s="21">
        <f t="shared" si="0"/>
        <v>0</v>
      </c>
      <c r="D19" s="21">
        <f t="shared" si="1"/>
        <v>0</v>
      </c>
      <c r="E19" s="22"/>
      <c r="F19" s="22"/>
      <c r="G19" s="135"/>
      <c r="H19" s="136"/>
      <c r="N19" s="6"/>
    </row>
    <row r="20" spans="1:14" ht="12" customHeight="1">
      <c r="A20" s="19">
        <v>5250</v>
      </c>
      <c r="B20" s="20"/>
      <c r="C20" s="21">
        <f t="shared" si="0"/>
        <v>0</v>
      </c>
      <c r="D20" s="21">
        <f t="shared" si="1"/>
        <v>0</v>
      </c>
      <c r="E20" s="22"/>
      <c r="F20" s="22"/>
      <c r="G20" s="135"/>
      <c r="H20" s="136"/>
      <c r="N20" s="6"/>
    </row>
    <row r="21" spans="1:14" ht="12" customHeight="1">
      <c r="A21" s="19">
        <v>5350</v>
      </c>
      <c r="B21" s="20"/>
      <c r="C21" s="21">
        <f t="shared" si="0"/>
        <v>0</v>
      </c>
      <c r="D21" s="21">
        <f t="shared" si="1"/>
        <v>0</v>
      </c>
      <c r="E21" s="22"/>
      <c r="F21" s="22"/>
      <c r="G21" s="135"/>
      <c r="H21" s="135"/>
      <c r="N21" s="6"/>
    </row>
    <row r="22" spans="1:14" ht="12" customHeight="1">
      <c r="A22" s="19">
        <v>5450</v>
      </c>
      <c r="B22" s="20"/>
      <c r="C22" s="21">
        <f t="shared" si="0"/>
        <v>0</v>
      </c>
      <c r="D22" s="21">
        <f t="shared" si="1"/>
        <v>0</v>
      </c>
      <c r="E22" s="18"/>
      <c r="F22" s="18"/>
      <c r="G22" s="135"/>
      <c r="H22" s="135"/>
      <c r="N22" s="6"/>
    </row>
    <row r="23" spans="1:14" ht="12" customHeight="1">
      <c r="A23" s="19">
        <v>5550</v>
      </c>
      <c r="B23" s="20"/>
      <c r="C23" s="21">
        <f t="shared" si="0"/>
        <v>0</v>
      </c>
      <c r="D23" s="21">
        <f t="shared" si="1"/>
        <v>0</v>
      </c>
      <c r="E23" s="18"/>
      <c r="F23" s="18"/>
      <c r="G23" s="137">
        <v>0.1</v>
      </c>
      <c r="H23" s="137" t="s">
        <v>22</v>
      </c>
      <c r="N23" s="6"/>
    </row>
    <row r="24" spans="1:14" ht="12" customHeight="1">
      <c r="A24" s="19">
        <v>5650</v>
      </c>
      <c r="B24" s="20"/>
      <c r="C24" s="21">
        <f t="shared" si="0"/>
        <v>0</v>
      </c>
      <c r="D24" s="21">
        <f t="shared" si="1"/>
        <v>0</v>
      </c>
      <c r="E24" s="18"/>
      <c r="F24" s="18"/>
      <c r="G24" s="137"/>
      <c r="H24" s="137"/>
      <c r="N24" s="6"/>
    </row>
    <row r="25" spans="1:14" ht="12" customHeight="1">
      <c r="A25" s="19">
        <v>5750</v>
      </c>
      <c r="B25" s="20"/>
      <c r="C25" s="21">
        <f t="shared" si="0"/>
        <v>0</v>
      </c>
      <c r="D25" s="21">
        <f t="shared" si="1"/>
        <v>0</v>
      </c>
      <c r="E25" s="22"/>
      <c r="F25" s="23"/>
      <c r="G25" s="24" t="e">
        <f>G29+(G29*10%)</f>
        <v>#DIV/0!</v>
      </c>
      <c r="H25" s="24" t="e">
        <f>G29-(G29*10%)</f>
        <v>#DIV/0!</v>
      </c>
      <c r="N25" s="6"/>
    </row>
    <row r="26" spans="1:14" ht="12" customHeight="1">
      <c r="A26" s="19">
        <v>5850</v>
      </c>
      <c r="B26" s="20"/>
      <c r="C26" s="21">
        <f t="shared" si="0"/>
        <v>0</v>
      </c>
      <c r="D26" s="21">
        <f t="shared" si="1"/>
        <v>0</v>
      </c>
      <c r="E26" s="22"/>
      <c r="F26" s="23"/>
      <c r="G26" s="138" t="s">
        <v>23</v>
      </c>
      <c r="H26" s="138"/>
      <c r="N26" s="6"/>
    </row>
    <row r="27" spans="1:14" ht="12" customHeight="1">
      <c r="A27" s="19">
        <v>5950</v>
      </c>
      <c r="B27" s="20"/>
      <c r="C27" s="21">
        <f t="shared" si="0"/>
        <v>0</v>
      </c>
      <c r="D27" s="21">
        <f t="shared" si="1"/>
        <v>0</v>
      </c>
      <c r="E27" s="22"/>
      <c r="F27" s="23"/>
      <c r="G27" s="139">
        <f>SUM(B12:B43)</f>
        <v>0</v>
      </c>
      <c r="H27" s="139"/>
      <c r="N27" s="6"/>
    </row>
    <row r="28" spans="1:14" ht="12" customHeight="1">
      <c r="A28" s="19">
        <v>6050</v>
      </c>
      <c r="B28" s="20"/>
      <c r="C28" s="21">
        <f t="shared" si="0"/>
        <v>0</v>
      </c>
      <c r="D28" s="21">
        <f t="shared" si="1"/>
        <v>0</v>
      </c>
      <c r="E28" s="22"/>
      <c r="F28" s="23"/>
      <c r="G28" s="138" t="s">
        <v>24</v>
      </c>
      <c r="H28" s="138"/>
      <c r="N28" s="6"/>
    </row>
    <row r="29" spans="1:14" ht="12" customHeight="1">
      <c r="A29" s="19">
        <v>6150</v>
      </c>
      <c r="B29" s="20"/>
      <c r="C29" s="21">
        <f t="shared" si="0"/>
        <v>0</v>
      </c>
      <c r="D29" s="21">
        <f t="shared" si="1"/>
        <v>0</v>
      </c>
      <c r="E29" s="22"/>
      <c r="F29" s="23"/>
      <c r="G29" s="156" t="e">
        <f>((D44/B44)-L10)/80</f>
        <v>#DIV/0!</v>
      </c>
      <c r="H29" s="156"/>
      <c r="N29" s="6"/>
    </row>
    <row r="30" spans="1:14" ht="12" customHeight="1">
      <c r="A30" s="19">
        <v>6250</v>
      </c>
      <c r="B30" s="20"/>
      <c r="C30" s="21">
        <f t="shared" si="0"/>
        <v>0</v>
      </c>
      <c r="D30" s="21">
        <f t="shared" si="1"/>
        <v>0</v>
      </c>
      <c r="E30" s="22"/>
      <c r="F30" s="23"/>
      <c r="G30" s="153" t="s">
        <v>25</v>
      </c>
      <c r="H30" s="153"/>
      <c r="N30" s="6"/>
    </row>
    <row r="31" spans="1:14" ht="12" customHeight="1">
      <c r="A31" s="19">
        <v>6350</v>
      </c>
      <c r="B31" s="20"/>
      <c r="C31" s="21">
        <f t="shared" si="0"/>
        <v>0</v>
      </c>
      <c r="D31" s="21">
        <f t="shared" si="1"/>
        <v>0</v>
      </c>
      <c r="E31" s="22"/>
      <c r="F31" s="23"/>
      <c r="G31" s="157" t="e">
        <f>G27/B44%</f>
        <v>#DIV/0!</v>
      </c>
      <c r="H31" s="157"/>
      <c r="N31" s="6"/>
    </row>
    <row r="32" spans="1:14" ht="12" customHeight="1">
      <c r="A32" s="19">
        <v>6450</v>
      </c>
      <c r="B32" s="20"/>
      <c r="C32" s="21">
        <f t="shared" si="0"/>
        <v>0</v>
      </c>
      <c r="D32" s="21">
        <f t="shared" si="1"/>
        <v>0</v>
      </c>
      <c r="E32" s="25" t="s">
        <v>26</v>
      </c>
      <c r="F32" s="26">
        <f>B44*C44</f>
        <v>0</v>
      </c>
      <c r="G32" s="153" t="s">
        <v>27</v>
      </c>
      <c r="H32" s="153"/>
      <c r="N32" s="6"/>
    </row>
    <row r="33" spans="1:14" ht="12" customHeight="1">
      <c r="A33" s="19">
        <v>6550</v>
      </c>
      <c r="B33" s="20"/>
      <c r="C33" s="21">
        <f t="shared" si="0"/>
        <v>0</v>
      </c>
      <c r="D33" s="21">
        <f t="shared" si="1"/>
        <v>0</v>
      </c>
      <c r="E33" s="25" t="s">
        <v>28</v>
      </c>
      <c r="F33" s="26">
        <f>D44*D44</f>
        <v>0</v>
      </c>
      <c r="G33" s="157" t="e">
        <f>(SQRT(F36)/80)</f>
        <v>#DIV/0!</v>
      </c>
      <c r="H33" s="157"/>
      <c r="N33" s="6"/>
    </row>
    <row r="34" spans="1:14" ht="12" customHeight="1">
      <c r="A34" s="19">
        <v>6650</v>
      </c>
      <c r="B34" s="20"/>
      <c r="C34" s="21">
        <f t="shared" si="0"/>
        <v>0</v>
      </c>
      <c r="D34" s="21">
        <f t="shared" si="1"/>
        <v>0</v>
      </c>
      <c r="E34" s="25" t="s">
        <v>29</v>
      </c>
      <c r="F34" s="26">
        <f>F32-F33</f>
        <v>0</v>
      </c>
      <c r="G34" s="153" t="s">
        <v>30</v>
      </c>
      <c r="H34" s="153"/>
      <c r="N34" s="6"/>
    </row>
    <row r="35" spans="1:14" ht="12" customHeight="1">
      <c r="A35" s="19">
        <v>6750</v>
      </c>
      <c r="B35" s="20"/>
      <c r="C35" s="21">
        <f t="shared" si="0"/>
        <v>0</v>
      </c>
      <c r="D35" s="21">
        <f t="shared" si="1"/>
        <v>0</v>
      </c>
      <c r="E35" s="27" t="s">
        <v>31</v>
      </c>
      <c r="F35" s="26">
        <f>B44*(B44-1)</f>
        <v>0</v>
      </c>
      <c r="G35" s="154" t="e">
        <f>G33/G29%</f>
        <v>#DIV/0!</v>
      </c>
      <c r="H35" s="154"/>
      <c r="N35" s="6"/>
    </row>
    <row r="36" spans="1:14" ht="12" customHeight="1">
      <c r="A36" s="19">
        <v>6850</v>
      </c>
      <c r="B36" s="20"/>
      <c r="C36" s="21">
        <f t="shared" si="0"/>
        <v>0</v>
      </c>
      <c r="D36" s="21">
        <f t="shared" si="1"/>
        <v>0</v>
      </c>
      <c r="E36" s="27"/>
      <c r="F36" s="28" t="e">
        <f>F34/F35</f>
        <v>#DIV/0!</v>
      </c>
      <c r="G36" s="153" t="s">
        <v>32</v>
      </c>
      <c r="H36" s="153"/>
      <c r="N36" s="6"/>
    </row>
    <row r="37" spans="1:14" ht="12" customHeight="1">
      <c r="A37" s="19">
        <v>6950</v>
      </c>
      <c r="B37" s="20"/>
      <c r="C37" s="21">
        <f t="shared" si="0"/>
        <v>0</v>
      </c>
      <c r="D37" s="21">
        <f t="shared" si="1"/>
        <v>0</v>
      </c>
      <c r="E37" s="22"/>
      <c r="F37" s="22"/>
      <c r="G37" s="155" t="e">
        <f>IF(G35&gt;=8,"REPROVADO",IF(AND(G35&lt;8),"APROVADO"))</f>
        <v>#DIV/0!</v>
      </c>
      <c r="H37" s="155"/>
      <c r="N37" s="6"/>
    </row>
    <row r="38" spans="1:14" ht="12" customHeight="1">
      <c r="A38" s="19">
        <v>7050</v>
      </c>
      <c r="B38" s="20"/>
      <c r="C38" s="21">
        <f t="shared" si="0"/>
        <v>0</v>
      </c>
      <c r="D38" s="21">
        <f t="shared" si="1"/>
        <v>0</v>
      </c>
      <c r="E38" s="22"/>
      <c r="F38" s="22"/>
      <c r="G38" s="155"/>
      <c r="H38" s="155"/>
      <c r="N38" s="6"/>
    </row>
    <row r="39" spans="1:14" ht="12" customHeight="1">
      <c r="A39" s="19">
        <v>7150</v>
      </c>
      <c r="B39" s="20"/>
      <c r="C39" s="21">
        <f t="shared" si="0"/>
        <v>0</v>
      </c>
      <c r="D39" s="21">
        <f t="shared" si="1"/>
        <v>0</v>
      </c>
      <c r="E39" s="22"/>
      <c r="F39" s="29"/>
      <c r="G39" s="30"/>
      <c r="H39" s="31"/>
      <c r="N39" s="6"/>
    </row>
    <row r="40" spans="1:14" ht="12" customHeight="1">
      <c r="A40" s="19">
        <v>7250</v>
      </c>
      <c r="B40" s="20"/>
      <c r="C40" s="21">
        <f t="shared" si="0"/>
        <v>0</v>
      </c>
      <c r="D40" s="21">
        <f t="shared" si="1"/>
        <v>0</v>
      </c>
      <c r="E40" s="22"/>
      <c r="F40" s="29"/>
      <c r="G40" s="153" t="s">
        <v>33</v>
      </c>
      <c r="H40" s="153"/>
      <c r="N40" s="6"/>
    </row>
    <row r="41" spans="1:14" ht="12" customHeight="1">
      <c r="A41" s="19">
        <v>7350</v>
      </c>
      <c r="B41" s="20"/>
      <c r="C41" s="21">
        <f t="shared" si="0"/>
        <v>0</v>
      </c>
      <c r="D41" s="21">
        <f t="shared" si="1"/>
        <v>0</v>
      </c>
      <c r="E41" s="22"/>
      <c r="F41" s="29"/>
      <c r="G41" s="155" t="e">
        <f>IF(G31&gt;=89.99,"APROVADO",IF(AND(G31&lt;=90),"REPROVADO"))</f>
        <v>#DIV/0!</v>
      </c>
      <c r="H41" s="155"/>
      <c r="N41" s="6"/>
    </row>
    <row r="42" spans="1:14" ht="12" customHeight="1">
      <c r="A42" s="19">
        <v>7450</v>
      </c>
      <c r="B42" s="20"/>
      <c r="C42" s="21">
        <f t="shared" si="0"/>
        <v>0</v>
      </c>
      <c r="D42" s="21">
        <f t="shared" si="1"/>
        <v>0</v>
      </c>
      <c r="E42" s="22"/>
      <c r="F42" s="29"/>
      <c r="G42" s="155"/>
      <c r="H42" s="155"/>
      <c r="N42" s="6"/>
    </row>
    <row r="43" spans="1:14" ht="12" customHeight="1">
      <c r="A43" s="19">
        <v>7550</v>
      </c>
      <c r="B43" s="20"/>
      <c r="C43" s="21">
        <f t="shared" si="0"/>
        <v>0</v>
      </c>
      <c r="D43" s="21">
        <f t="shared" si="1"/>
        <v>0</v>
      </c>
      <c r="E43" s="22"/>
      <c r="F43" s="29"/>
      <c r="G43" s="5"/>
      <c r="H43" s="6"/>
      <c r="N43" s="6"/>
    </row>
    <row r="44" spans="1:14" ht="12" customHeight="1">
      <c r="A44" s="16" t="s">
        <v>34</v>
      </c>
      <c r="B44" s="32">
        <f>SUM(B12:B43)</f>
        <v>0</v>
      </c>
      <c r="C44" s="21">
        <f>SUM(C12:C43)</f>
        <v>0</v>
      </c>
      <c r="D44" s="21">
        <f>SUM(D21:D43)</f>
        <v>0</v>
      </c>
      <c r="E44" s="22"/>
      <c r="F44" s="29"/>
      <c r="G44" s="33"/>
      <c r="H44" s="34"/>
      <c r="N44" s="6"/>
    </row>
    <row r="45" spans="1:14" ht="7.5" customHeight="1">
      <c r="A45" s="5"/>
      <c r="N45" s="6"/>
    </row>
    <row r="46" spans="1:14" ht="17.25" customHeight="1" thickBot="1">
      <c r="A46" s="166" t="s">
        <v>35</v>
      </c>
      <c r="B46" s="167"/>
      <c r="C46" s="167"/>
      <c r="D46" s="167"/>
      <c r="E46" s="167"/>
      <c r="G46" s="168" t="s">
        <v>36</v>
      </c>
      <c r="H46" s="168"/>
      <c r="I46" s="168"/>
      <c r="J46" s="168"/>
      <c r="K46" s="168"/>
      <c r="L46" s="115"/>
      <c r="M46" s="35"/>
      <c r="N46" s="6"/>
    </row>
    <row r="47" spans="1:14" ht="13.5" customHeight="1" thickBot="1">
      <c r="A47" s="162" t="s">
        <v>37</v>
      </c>
      <c r="B47" s="162"/>
      <c r="C47" s="162"/>
      <c r="D47" s="162"/>
      <c r="E47" s="16"/>
      <c r="F47" s="36" t="s">
        <v>38</v>
      </c>
      <c r="G47" s="169" t="s">
        <v>39</v>
      </c>
      <c r="H47" s="170" t="s">
        <v>40</v>
      </c>
      <c r="I47" s="170"/>
      <c r="J47" s="170"/>
      <c r="K47" s="171"/>
      <c r="L47" s="135" t="s">
        <v>41</v>
      </c>
      <c r="M47" s="135"/>
      <c r="N47" s="158" t="s">
        <v>143</v>
      </c>
    </row>
    <row r="48" spans="1:14" ht="12.75" customHeight="1" thickBot="1">
      <c r="A48" s="159" t="s">
        <v>42</v>
      </c>
      <c r="B48" s="159"/>
      <c r="C48" s="159"/>
      <c r="D48" s="159"/>
      <c r="E48" s="19"/>
      <c r="G48" s="169"/>
      <c r="H48" s="37" t="s">
        <v>43</v>
      </c>
      <c r="I48" s="160" t="s">
        <v>44</v>
      </c>
      <c r="J48" s="160"/>
      <c r="K48" s="161"/>
      <c r="L48" s="135"/>
      <c r="M48" s="135"/>
      <c r="N48" s="158"/>
    </row>
    <row r="49" spans="1:15" ht="13.5" customHeight="1" thickBot="1">
      <c r="A49" s="162" t="s">
        <v>45</v>
      </c>
      <c r="B49" s="162"/>
      <c r="C49" s="162"/>
      <c r="D49" s="162"/>
      <c r="E49" s="16"/>
      <c r="G49" s="169"/>
      <c r="H49" s="38"/>
      <c r="I49" s="39"/>
      <c r="J49" s="40"/>
      <c r="K49" s="117"/>
      <c r="L49" s="135"/>
      <c r="M49" s="135"/>
      <c r="N49" s="163" t="s">
        <v>144</v>
      </c>
    </row>
    <row r="50" spans="1:15" ht="12.75" customHeight="1" thickBot="1">
      <c r="A50" s="162" t="s">
        <v>46</v>
      </c>
      <c r="B50" s="162"/>
      <c r="C50" s="162"/>
      <c r="D50" s="162"/>
      <c r="E50" s="19"/>
      <c r="G50" s="169"/>
      <c r="H50" s="164" t="s">
        <v>47</v>
      </c>
      <c r="I50" s="164"/>
      <c r="J50" s="164"/>
      <c r="K50" s="165"/>
      <c r="L50" s="135"/>
      <c r="M50" s="135"/>
      <c r="N50" s="163"/>
    </row>
    <row r="51" spans="1:15" ht="13.5" customHeight="1" thickBot="1">
      <c r="A51" s="162" t="s">
        <v>48</v>
      </c>
      <c r="B51" s="162"/>
      <c r="C51" s="162"/>
      <c r="D51" s="162"/>
      <c r="E51" s="16"/>
      <c r="G51" s="169"/>
      <c r="H51" s="41" t="s">
        <v>49</v>
      </c>
      <c r="I51" s="172" t="s">
        <v>50</v>
      </c>
      <c r="J51" s="172"/>
      <c r="K51" s="173"/>
      <c r="L51" s="135"/>
      <c r="M51" s="135"/>
      <c r="N51" s="174" t="s">
        <v>145</v>
      </c>
    </row>
    <row r="52" spans="1:15" ht="12.75" customHeight="1" thickBot="1">
      <c r="A52" s="162" t="s">
        <v>51</v>
      </c>
      <c r="B52" s="162"/>
      <c r="C52" s="162"/>
      <c r="D52" s="162"/>
      <c r="E52" s="16"/>
      <c r="G52" s="169"/>
      <c r="H52" s="41" t="s">
        <v>52</v>
      </c>
      <c r="I52" s="172" t="s">
        <v>53</v>
      </c>
      <c r="J52" s="172"/>
      <c r="K52" s="173"/>
      <c r="L52" s="135"/>
      <c r="M52" s="135"/>
      <c r="N52" s="174"/>
    </row>
    <row r="53" spans="1:15" ht="12.75" customHeight="1" thickBot="1">
      <c r="A53" s="162" t="s">
        <v>54</v>
      </c>
      <c r="B53" s="162"/>
      <c r="C53" s="162"/>
      <c r="D53" s="162"/>
      <c r="E53" s="16"/>
      <c r="G53" s="169"/>
      <c r="H53" s="41" t="s">
        <v>55</v>
      </c>
      <c r="I53" s="172" t="s">
        <v>56</v>
      </c>
      <c r="J53" s="172"/>
      <c r="K53" s="173"/>
      <c r="L53" s="135" t="s">
        <v>57</v>
      </c>
      <c r="M53" s="135"/>
      <c r="N53" s="175" t="s">
        <v>58</v>
      </c>
    </row>
    <row r="54" spans="1:15" ht="12" customHeight="1" thickBot="1">
      <c r="A54" s="162" t="s">
        <v>59</v>
      </c>
      <c r="B54" s="162"/>
      <c r="C54" s="162"/>
      <c r="D54" s="162"/>
      <c r="E54" s="16"/>
      <c r="G54" s="169"/>
      <c r="H54" s="42" t="s">
        <v>60</v>
      </c>
      <c r="I54" s="176" t="s">
        <v>61</v>
      </c>
      <c r="J54" s="176"/>
      <c r="K54" s="177"/>
      <c r="L54" s="135"/>
      <c r="M54" s="135"/>
      <c r="N54" s="175"/>
    </row>
    <row r="55" spans="1:15" ht="13.5" customHeight="1">
      <c r="A55" s="162" t="s">
        <v>62</v>
      </c>
      <c r="B55" s="162"/>
      <c r="C55" s="162"/>
      <c r="D55" s="162"/>
      <c r="E55" s="43" t="e">
        <f>SUM(E47:E54)/G8</f>
        <v>#DIV/0!</v>
      </c>
      <c r="L55" s="135"/>
      <c r="M55" s="135"/>
      <c r="N55" s="179" t="s">
        <v>63</v>
      </c>
    </row>
    <row r="56" spans="1:15" ht="15.75" customHeight="1" thickBot="1">
      <c r="A56" s="162" t="s">
        <v>64</v>
      </c>
      <c r="B56" s="162"/>
      <c r="C56" s="162"/>
      <c r="D56" s="162"/>
      <c r="E56" s="16"/>
      <c r="G56" s="168" t="s">
        <v>65</v>
      </c>
      <c r="H56" s="168"/>
      <c r="I56" s="168"/>
      <c r="L56" s="135"/>
      <c r="M56" s="135"/>
      <c r="N56" s="179"/>
    </row>
    <row r="57" spans="1:15" ht="12.75" customHeight="1" thickBot="1">
      <c r="A57" s="162" t="s">
        <v>66</v>
      </c>
      <c r="B57" s="162"/>
      <c r="C57" s="162"/>
      <c r="D57" s="162"/>
      <c r="E57" s="44" t="e">
        <f>E56/G8</f>
        <v>#DIV/0!</v>
      </c>
      <c r="G57" s="180" t="s">
        <v>67</v>
      </c>
      <c r="H57" s="181" t="s">
        <v>68</v>
      </c>
      <c r="I57" s="182" t="s">
        <v>69</v>
      </c>
      <c r="J57" s="45"/>
      <c r="L57" s="135"/>
      <c r="M57" s="135"/>
      <c r="N57" s="183" t="s">
        <v>70</v>
      </c>
    </row>
    <row r="58" spans="1:15" ht="12.75" customHeight="1" thickBot="1">
      <c r="A58" s="162" t="s">
        <v>71</v>
      </c>
      <c r="B58" s="162"/>
      <c r="C58" s="162"/>
      <c r="D58" s="162"/>
      <c r="E58" s="16"/>
      <c r="G58" s="180"/>
      <c r="H58" s="181"/>
      <c r="I58" s="182"/>
      <c r="J58" s="45"/>
      <c r="L58" s="135"/>
      <c r="M58" s="135"/>
      <c r="N58" s="183"/>
    </row>
    <row r="59" spans="1:15" ht="11.25" customHeight="1">
      <c r="A59" s="162" t="s">
        <v>72</v>
      </c>
      <c r="B59" s="162"/>
      <c r="C59" s="162"/>
      <c r="D59" s="162"/>
      <c r="E59" s="43" t="e">
        <f>E58/G8</f>
        <v>#DIV/0!</v>
      </c>
      <c r="G59" s="46" t="s">
        <v>73</v>
      </c>
      <c r="H59" s="47">
        <v>160</v>
      </c>
      <c r="I59" s="48">
        <v>1</v>
      </c>
      <c r="J59" s="49"/>
      <c r="L59" s="153" t="s">
        <v>74</v>
      </c>
      <c r="M59" s="153"/>
      <c r="N59" s="50" t="s">
        <v>75</v>
      </c>
    </row>
    <row r="60" spans="1:15" ht="11.25" customHeight="1">
      <c r="A60" s="162" t="s">
        <v>76</v>
      </c>
      <c r="B60" s="162"/>
      <c r="C60" s="162"/>
      <c r="D60" s="162"/>
      <c r="E60" s="16"/>
      <c r="G60" s="51" t="s">
        <v>77</v>
      </c>
      <c r="H60" s="52">
        <v>240</v>
      </c>
      <c r="I60" s="53">
        <v>2</v>
      </c>
      <c r="J60" s="49"/>
      <c r="L60" s="153" t="s">
        <v>78</v>
      </c>
      <c r="M60" s="153"/>
      <c r="N60" s="54" t="s">
        <v>79</v>
      </c>
      <c r="O60" s="55"/>
    </row>
    <row r="61" spans="1:15" ht="13.5" thickBot="1">
      <c r="A61" s="178" t="s">
        <v>80</v>
      </c>
      <c r="B61" s="178"/>
      <c r="C61" s="178"/>
      <c r="D61" s="178"/>
      <c r="E61" s="56" t="e">
        <f>E60/G8</f>
        <v>#DIV/0!</v>
      </c>
      <c r="G61" s="51" t="s">
        <v>81</v>
      </c>
      <c r="H61" s="52">
        <v>400</v>
      </c>
      <c r="I61" s="53">
        <v>3</v>
      </c>
      <c r="J61" s="49"/>
      <c r="L61" s="153" t="s">
        <v>82</v>
      </c>
      <c r="M61" s="153"/>
      <c r="N61" s="54" t="s">
        <v>83</v>
      </c>
      <c r="O61" s="57"/>
    </row>
    <row r="62" spans="1:15">
      <c r="A62" s="162" t="s">
        <v>84</v>
      </c>
      <c r="B62" s="162"/>
      <c r="C62" s="162"/>
      <c r="D62" s="109" t="s">
        <v>85</v>
      </c>
      <c r="E62" s="58">
        <v>42</v>
      </c>
      <c r="G62" s="51" t="s">
        <v>86</v>
      </c>
      <c r="H62" s="52">
        <v>560</v>
      </c>
      <c r="I62" s="53">
        <v>4</v>
      </c>
      <c r="J62" s="49"/>
      <c r="L62" s="153" t="s">
        <v>87</v>
      </c>
      <c r="M62" s="153"/>
      <c r="N62" s="54" t="s">
        <v>88</v>
      </c>
      <c r="O62" s="57"/>
    </row>
    <row r="63" spans="1:15" ht="13.5" thickBot="1">
      <c r="A63" s="162"/>
      <c r="B63" s="162"/>
      <c r="C63" s="162"/>
      <c r="D63" s="110" t="s">
        <v>89</v>
      </c>
      <c r="E63" s="59">
        <v>58</v>
      </c>
      <c r="G63" s="51" t="s">
        <v>90</v>
      </c>
      <c r="H63" s="52">
        <v>800</v>
      </c>
      <c r="I63" s="53">
        <v>5</v>
      </c>
      <c r="J63" s="49"/>
      <c r="L63" s="153" t="s">
        <v>91</v>
      </c>
      <c r="M63" s="153"/>
      <c r="N63" s="54" t="s">
        <v>92</v>
      </c>
      <c r="O63" s="55"/>
    </row>
    <row r="64" spans="1:15" ht="19.5" thickBot="1">
      <c r="A64" s="60"/>
      <c r="B64" s="61"/>
      <c r="C64" s="61"/>
      <c r="D64" s="49"/>
      <c r="E64" s="49"/>
      <c r="G64" s="62" t="s">
        <v>93</v>
      </c>
      <c r="H64" s="63">
        <v>1200</v>
      </c>
      <c r="I64" s="64" t="s">
        <v>94</v>
      </c>
      <c r="J64" s="49"/>
      <c r="L64" s="153" t="s">
        <v>95</v>
      </c>
      <c r="M64" s="153"/>
      <c r="N64" s="54" t="s">
        <v>96</v>
      </c>
      <c r="O64" s="55"/>
    </row>
    <row r="65" spans="1:15">
      <c r="A65" s="61"/>
      <c r="B65" s="61"/>
      <c r="C65" s="61"/>
      <c r="D65" s="49"/>
      <c r="E65" s="49"/>
      <c r="G65" s="65"/>
      <c r="H65" s="65"/>
      <c r="I65" s="65"/>
      <c r="J65" s="49"/>
      <c r="L65" s="153" t="s">
        <v>97</v>
      </c>
      <c r="M65" s="153"/>
      <c r="N65" s="66" t="s">
        <v>98</v>
      </c>
      <c r="O65" s="55"/>
    </row>
    <row r="66" spans="1:15" ht="14.25" customHeight="1" thickBot="1">
      <c r="A66" s="185" t="s">
        <v>99</v>
      </c>
      <c r="B66" s="185"/>
      <c r="C66" s="185"/>
      <c r="D66" s="185"/>
      <c r="E66" s="185"/>
      <c r="F66" s="185"/>
      <c r="G66" s="67"/>
      <c r="H66" s="185" t="s">
        <v>100</v>
      </c>
      <c r="I66" s="185"/>
      <c r="J66" s="185"/>
      <c r="K66" s="191"/>
      <c r="L66" s="192" t="s">
        <v>101</v>
      </c>
      <c r="M66" s="192"/>
      <c r="N66" s="68" t="s">
        <v>102</v>
      </c>
      <c r="O66" s="55"/>
    </row>
    <row r="67" spans="1:15" ht="11.25" hidden="1" customHeight="1">
      <c r="A67" s="69"/>
      <c r="B67" s="69"/>
      <c r="C67" s="69"/>
      <c r="D67" s="49"/>
      <c r="E67" s="49"/>
      <c r="G67" s="70"/>
      <c r="M67" s="49"/>
      <c r="N67" s="184"/>
      <c r="O67" s="184"/>
    </row>
    <row r="68" spans="1:15" ht="25.35" customHeight="1">
      <c r="A68" s="71" t="s">
        <v>146</v>
      </c>
      <c r="B68" s="71" t="s">
        <v>147</v>
      </c>
      <c r="C68" s="71" t="s">
        <v>148</v>
      </c>
      <c r="D68" s="71" t="s">
        <v>151</v>
      </c>
      <c r="E68" s="71" t="s">
        <v>149</v>
      </c>
      <c r="F68" s="71" t="s">
        <v>150</v>
      </c>
      <c r="G68" s="111"/>
      <c r="H68" s="119" t="s">
        <v>152</v>
      </c>
      <c r="I68" s="119" t="s">
        <v>156</v>
      </c>
      <c r="J68" s="119" t="s">
        <v>153</v>
      </c>
      <c r="K68" s="119" t="s">
        <v>154</v>
      </c>
      <c r="L68" s="119" t="s">
        <v>155</v>
      </c>
      <c r="M68" s="119" t="s">
        <v>103</v>
      </c>
      <c r="N68" s="119" t="s">
        <v>104</v>
      </c>
    </row>
    <row r="69" spans="1:15">
      <c r="A69" s="72"/>
      <c r="B69" s="72"/>
      <c r="C69" s="72"/>
      <c r="D69" s="73"/>
      <c r="E69" s="73"/>
      <c r="F69" s="73"/>
      <c r="G69" s="112"/>
      <c r="H69" s="74"/>
      <c r="I69" s="74"/>
      <c r="J69" s="74"/>
      <c r="K69" s="74"/>
      <c r="L69" s="74"/>
      <c r="M69" s="74">
        <f>I69-J69-K69-L69</f>
        <v>0</v>
      </c>
      <c r="N69" s="75" t="e">
        <f>M69/I69</f>
        <v>#DIV/0!</v>
      </c>
    </row>
    <row r="70" spans="1:15">
      <c r="A70" s="72"/>
      <c r="B70" s="72"/>
      <c r="C70" s="72"/>
      <c r="D70" s="73"/>
      <c r="E70" s="73"/>
      <c r="F70" s="73"/>
      <c r="G70" s="113"/>
      <c r="H70" s="74"/>
      <c r="I70" s="74"/>
      <c r="J70" s="74"/>
      <c r="K70" s="74"/>
      <c r="L70" s="74"/>
      <c r="M70" s="74">
        <f t="shared" ref="M70:M81" si="2">I70-J70-K70-L70</f>
        <v>0</v>
      </c>
      <c r="N70" s="75" t="e">
        <f t="shared" ref="N70:N81" si="3">M70/I70</f>
        <v>#DIV/0!</v>
      </c>
    </row>
    <row r="71" spans="1:15">
      <c r="A71" s="72"/>
      <c r="B71" s="72"/>
      <c r="C71" s="72"/>
      <c r="D71" s="73"/>
      <c r="E71" s="73"/>
      <c r="F71" s="73"/>
      <c r="G71" s="113"/>
      <c r="H71" s="74"/>
      <c r="I71" s="74"/>
      <c r="J71" s="74"/>
      <c r="K71" s="74"/>
      <c r="L71" s="74"/>
      <c r="M71" s="74">
        <f t="shared" si="2"/>
        <v>0</v>
      </c>
      <c r="N71" s="75" t="e">
        <f t="shared" si="3"/>
        <v>#DIV/0!</v>
      </c>
    </row>
    <row r="72" spans="1:15">
      <c r="A72" s="72"/>
      <c r="B72" s="72"/>
      <c r="C72" s="72"/>
      <c r="D72" s="73"/>
      <c r="E72" s="73"/>
      <c r="F72" s="73"/>
      <c r="G72" s="113"/>
      <c r="H72" s="74"/>
      <c r="I72" s="74"/>
      <c r="J72" s="74"/>
      <c r="K72" s="74"/>
      <c r="L72" s="74"/>
      <c r="M72" s="74">
        <f t="shared" si="2"/>
        <v>0</v>
      </c>
      <c r="N72" s="75" t="e">
        <f t="shared" si="3"/>
        <v>#DIV/0!</v>
      </c>
    </row>
    <row r="73" spans="1:15">
      <c r="A73" s="72"/>
      <c r="B73" s="72"/>
      <c r="C73" s="72"/>
      <c r="D73" s="73"/>
      <c r="E73" s="73"/>
      <c r="F73" s="73"/>
      <c r="G73" s="113"/>
      <c r="H73" s="76"/>
      <c r="I73" s="74"/>
      <c r="J73" s="74"/>
      <c r="K73" s="74"/>
      <c r="L73" s="74"/>
      <c r="M73" s="74">
        <f t="shared" si="2"/>
        <v>0</v>
      </c>
      <c r="N73" s="75" t="e">
        <f t="shared" si="3"/>
        <v>#DIV/0!</v>
      </c>
    </row>
    <row r="74" spans="1:15">
      <c r="A74" s="72"/>
      <c r="B74" s="72"/>
      <c r="C74" s="72"/>
      <c r="D74" s="73"/>
      <c r="E74" s="73"/>
      <c r="F74" s="73"/>
      <c r="G74" s="113"/>
      <c r="H74" s="76"/>
      <c r="I74" s="74"/>
      <c r="J74" s="74"/>
      <c r="K74" s="74"/>
      <c r="L74" s="74"/>
      <c r="M74" s="74">
        <f t="shared" si="2"/>
        <v>0</v>
      </c>
      <c r="N74" s="75" t="e">
        <f t="shared" si="3"/>
        <v>#DIV/0!</v>
      </c>
    </row>
    <row r="75" spans="1:15">
      <c r="A75" s="72"/>
      <c r="B75" s="72"/>
      <c r="C75" s="72"/>
      <c r="D75" s="73"/>
      <c r="E75" s="73"/>
      <c r="F75" s="73"/>
      <c r="G75" s="113"/>
      <c r="H75" s="76"/>
      <c r="I75" s="74"/>
      <c r="J75" s="74"/>
      <c r="K75" s="74"/>
      <c r="L75" s="74"/>
      <c r="M75" s="74">
        <f t="shared" si="2"/>
        <v>0</v>
      </c>
      <c r="N75" s="75" t="e">
        <f t="shared" si="3"/>
        <v>#DIV/0!</v>
      </c>
    </row>
    <row r="76" spans="1:15" ht="11.25" customHeight="1">
      <c r="A76" s="72"/>
      <c r="B76" s="72"/>
      <c r="C76" s="72"/>
      <c r="D76" s="73"/>
      <c r="E76" s="73"/>
      <c r="F76" s="73"/>
      <c r="G76" s="113"/>
      <c r="H76" s="76"/>
      <c r="I76" s="74"/>
      <c r="J76" s="74"/>
      <c r="K76" s="74"/>
      <c r="L76" s="74"/>
      <c r="M76" s="74">
        <f t="shared" si="2"/>
        <v>0</v>
      </c>
      <c r="N76" s="75" t="e">
        <f t="shared" si="3"/>
        <v>#DIV/0!</v>
      </c>
    </row>
    <row r="77" spans="1:15" ht="11.25" customHeight="1">
      <c r="A77" s="77"/>
      <c r="B77" s="77"/>
      <c r="C77" s="77"/>
      <c r="D77" s="78"/>
      <c r="E77" s="78"/>
      <c r="F77" s="78"/>
      <c r="G77" s="113"/>
      <c r="H77" s="76"/>
      <c r="I77" s="74"/>
      <c r="J77" s="74"/>
      <c r="K77" s="74"/>
      <c r="L77" s="74"/>
      <c r="M77" s="74">
        <f t="shared" si="2"/>
        <v>0</v>
      </c>
      <c r="N77" s="75" t="e">
        <f t="shared" si="3"/>
        <v>#DIV/0!</v>
      </c>
    </row>
    <row r="78" spans="1:15" ht="11.25" customHeight="1">
      <c r="A78" s="77"/>
      <c r="B78" s="77"/>
      <c r="C78" s="77"/>
      <c r="D78" s="78"/>
      <c r="E78" s="78"/>
      <c r="F78" s="78"/>
      <c r="G78" s="113"/>
      <c r="H78" s="76"/>
      <c r="I78" s="74"/>
      <c r="J78" s="74"/>
      <c r="K78" s="74"/>
      <c r="L78" s="74"/>
      <c r="M78" s="74">
        <f t="shared" si="2"/>
        <v>0</v>
      </c>
      <c r="N78" s="75" t="e">
        <f t="shared" si="3"/>
        <v>#DIV/0!</v>
      </c>
    </row>
    <row r="79" spans="1:15" ht="11.25" customHeight="1">
      <c r="A79" s="77"/>
      <c r="B79" s="77"/>
      <c r="C79" s="77"/>
      <c r="D79" s="78"/>
      <c r="E79" s="78"/>
      <c r="F79" s="78"/>
      <c r="G79" s="113"/>
      <c r="H79" s="76"/>
      <c r="I79" s="74"/>
      <c r="J79" s="74"/>
      <c r="K79" s="74"/>
      <c r="L79" s="74"/>
      <c r="M79" s="74">
        <f t="shared" si="2"/>
        <v>0</v>
      </c>
      <c r="N79" s="75" t="e">
        <f t="shared" si="3"/>
        <v>#DIV/0!</v>
      </c>
    </row>
    <row r="80" spans="1:15">
      <c r="A80" s="77"/>
      <c r="B80" s="77"/>
      <c r="C80" s="77"/>
      <c r="D80" s="78"/>
      <c r="E80" s="78"/>
      <c r="F80" s="78"/>
      <c r="G80" s="113"/>
      <c r="H80" s="76"/>
      <c r="I80" s="74"/>
      <c r="J80" s="74"/>
      <c r="K80" s="74"/>
      <c r="L80" s="74"/>
      <c r="M80" s="74">
        <f t="shared" si="2"/>
        <v>0</v>
      </c>
      <c r="N80" s="75" t="e">
        <f t="shared" si="3"/>
        <v>#DIV/0!</v>
      </c>
    </row>
    <row r="81" spans="1:14">
      <c r="A81" s="79"/>
      <c r="B81" s="80"/>
      <c r="C81" s="80"/>
      <c r="D81" s="81"/>
      <c r="E81" s="81"/>
      <c r="G81" s="113"/>
      <c r="H81" s="76"/>
      <c r="I81" s="74"/>
      <c r="J81" s="74"/>
      <c r="K81" s="74"/>
      <c r="L81" s="74"/>
      <c r="M81" s="74">
        <f t="shared" si="2"/>
        <v>0</v>
      </c>
      <c r="N81" s="75" t="e">
        <f t="shared" si="3"/>
        <v>#DIV/0!</v>
      </c>
    </row>
    <row r="82" spans="1:14" ht="18.75">
      <c r="A82" s="134" t="s">
        <v>157</v>
      </c>
      <c r="B82" s="185"/>
      <c r="C82" s="185"/>
      <c r="D82" s="185"/>
      <c r="E82" s="185"/>
      <c r="G82" s="114"/>
      <c r="H82" s="120" t="s">
        <v>34</v>
      </c>
      <c r="I82" s="121">
        <f>SUM(I69:I80)</f>
        <v>0</v>
      </c>
      <c r="J82" s="121">
        <f>SUM(J69:J80)</f>
        <v>0</v>
      </c>
      <c r="K82" s="121">
        <f>SUM(K69:K80)</f>
        <v>0</v>
      </c>
      <c r="L82" s="121">
        <f>SUM(L69:L80)</f>
        <v>0</v>
      </c>
      <c r="M82" s="74">
        <f>I82-J82-K82-L82</f>
        <v>0</v>
      </c>
      <c r="N82" s="186" t="e">
        <f>M82/I82</f>
        <v>#DIV/0!</v>
      </c>
    </row>
    <row r="83" spans="1:14" ht="11.25" customHeight="1">
      <c r="A83" s="82"/>
      <c r="B83" s="83"/>
      <c r="C83" s="84"/>
      <c r="D83" s="20" t="s">
        <v>105</v>
      </c>
      <c r="E83" s="20" t="s">
        <v>106</v>
      </c>
      <c r="G83" s="10"/>
      <c r="H83" s="10" t="s">
        <v>107</v>
      </c>
      <c r="I83" s="4" t="s">
        <v>108</v>
      </c>
      <c r="K83" s="187" t="s">
        <v>109</v>
      </c>
      <c r="L83" s="187"/>
      <c r="M83" s="187"/>
      <c r="N83" s="186"/>
    </row>
    <row r="84" spans="1:14">
      <c r="A84" s="188" t="s">
        <v>110</v>
      </c>
      <c r="B84" s="188"/>
      <c r="C84" s="188"/>
      <c r="D84" s="85" t="s">
        <v>98</v>
      </c>
      <c r="E84" s="20"/>
      <c r="G84" s="86"/>
      <c r="H84" s="86" t="s">
        <v>111</v>
      </c>
      <c r="I84" s="4" t="s">
        <v>112</v>
      </c>
      <c r="J84" s="49"/>
      <c r="K84" s="49"/>
      <c r="L84" s="49"/>
      <c r="M84" s="49"/>
      <c r="N84" s="87"/>
    </row>
    <row r="85" spans="1:14" ht="11.25" customHeight="1">
      <c r="A85" s="188" t="s">
        <v>113</v>
      </c>
      <c r="B85" s="188"/>
      <c r="C85" s="188"/>
      <c r="D85" s="85" t="s">
        <v>102</v>
      </c>
      <c r="E85" s="20"/>
      <c r="G85" s="189" t="s">
        <v>114</v>
      </c>
      <c r="H85" s="189"/>
      <c r="I85" s="49"/>
      <c r="J85" s="49"/>
      <c r="K85" s="190"/>
      <c r="L85" s="190"/>
      <c r="M85" s="190"/>
      <c r="N85" s="190"/>
    </row>
    <row r="86" spans="1:14">
      <c r="A86" s="198"/>
      <c r="B86" s="198"/>
      <c r="C86" s="198"/>
      <c r="D86" s="88"/>
      <c r="E86" s="88"/>
      <c r="G86" s="89" t="s">
        <v>115</v>
      </c>
      <c r="H86" s="90" t="s">
        <v>116</v>
      </c>
      <c r="I86" s="4" t="s">
        <v>117</v>
      </c>
      <c r="K86" s="190"/>
      <c r="L86" s="190"/>
      <c r="M86" s="190"/>
      <c r="N86" s="190"/>
    </row>
    <row r="87" spans="1:14" ht="18.600000000000001" customHeight="1">
      <c r="A87" s="166" t="s">
        <v>118</v>
      </c>
      <c r="B87" s="167"/>
      <c r="C87" s="167"/>
      <c r="D87" s="167"/>
      <c r="E87" s="167"/>
      <c r="F87" s="199"/>
      <c r="G87" s="22" t="s">
        <v>119</v>
      </c>
      <c r="H87" s="122" t="e">
        <f>G37</f>
        <v>#DIV/0!</v>
      </c>
      <c r="I87" s="200" t="s">
        <v>120</v>
      </c>
      <c r="J87" s="200"/>
      <c r="K87" s="200"/>
      <c r="L87" s="200"/>
      <c r="M87" s="200"/>
      <c r="N87" s="200"/>
    </row>
    <row r="88" spans="1:14">
      <c r="A88" s="193" t="s">
        <v>166</v>
      </c>
      <c r="B88" s="193"/>
      <c r="C88" s="193"/>
      <c r="D88" s="193"/>
      <c r="E88" s="194"/>
      <c r="F88" s="194"/>
      <c r="H88" s="125" t="s">
        <v>161</v>
      </c>
      <c r="I88" s="126" t="s">
        <v>159</v>
      </c>
      <c r="J88" s="126" t="s">
        <v>162</v>
      </c>
      <c r="K88" s="126" t="s">
        <v>160</v>
      </c>
      <c r="L88" s="126" t="s">
        <v>164</v>
      </c>
      <c r="M88" s="126" t="s">
        <v>163</v>
      </c>
      <c r="N88" s="126" t="s">
        <v>121</v>
      </c>
    </row>
    <row r="89" spans="1:14">
      <c r="A89" s="193" t="s">
        <v>122</v>
      </c>
      <c r="B89" s="193"/>
      <c r="C89" s="193"/>
      <c r="D89" s="193"/>
      <c r="E89" s="194"/>
      <c r="F89" s="194"/>
      <c r="H89" s="74"/>
      <c r="I89" s="91"/>
      <c r="J89" s="91"/>
      <c r="K89" s="74"/>
      <c r="L89" s="74"/>
      <c r="M89" s="74"/>
      <c r="N89" s="92"/>
    </row>
    <row r="90" spans="1:14" ht="13.5" thickBot="1">
      <c r="A90" s="193" t="s">
        <v>123</v>
      </c>
      <c r="B90" s="193"/>
      <c r="C90" s="193"/>
      <c r="D90" s="193"/>
      <c r="E90" s="195"/>
      <c r="F90" s="195"/>
      <c r="H90" s="74"/>
      <c r="I90" s="91"/>
      <c r="J90" s="91"/>
      <c r="K90" s="74"/>
      <c r="L90" s="74"/>
      <c r="M90" s="74"/>
      <c r="N90" s="92"/>
    </row>
    <row r="91" spans="1:14">
      <c r="A91" s="196" t="s">
        <v>124</v>
      </c>
      <c r="B91" s="196"/>
      <c r="C91" s="196"/>
      <c r="D91" s="196"/>
      <c r="E91" s="197"/>
      <c r="F91" s="197"/>
      <c r="H91" s="74"/>
      <c r="I91" s="91"/>
      <c r="J91" s="91"/>
      <c r="K91" s="74"/>
      <c r="L91" s="74"/>
      <c r="M91" s="74"/>
      <c r="N91" s="92"/>
    </row>
    <row r="92" spans="1:14">
      <c r="A92" s="210" t="s">
        <v>118</v>
      </c>
      <c r="B92" s="210"/>
      <c r="C92" s="210"/>
      <c r="D92" s="210"/>
      <c r="E92" s="93" t="s">
        <v>125</v>
      </c>
      <c r="F92" s="94"/>
      <c r="H92" s="74"/>
      <c r="I92" s="91"/>
      <c r="J92" s="91"/>
      <c r="K92" s="74"/>
      <c r="L92" s="74"/>
      <c r="M92" s="74"/>
      <c r="N92" s="92"/>
    </row>
    <row r="93" spans="1:14" ht="13.5" thickBot="1">
      <c r="A93" s="210"/>
      <c r="B93" s="210"/>
      <c r="C93" s="210"/>
      <c r="D93" s="210"/>
      <c r="E93" s="95" t="s">
        <v>126</v>
      </c>
      <c r="F93" s="59"/>
      <c r="H93" s="74"/>
      <c r="I93" s="91"/>
      <c r="J93" s="91"/>
      <c r="K93" s="74"/>
      <c r="L93" s="74"/>
      <c r="M93" s="74"/>
      <c r="N93" s="92"/>
    </row>
    <row r="94" spans="1:14" ht="11.25" customHeight="1" thickBot="1">
      <c r="A94" s="211" t="s">
        <v>127</v>
      </c>
      <c r="B94" s="211"/>
      <c r="C94" s="211"/>
      <c r="D94" s="211"/>
      <c r="E94" s="211"/>
      <c r="F94" s="211"/>
      <c r="G94" s="211"/>
      <c r="H94" s="96"/>
      <c r="I94" s="91"/>
      <c r="J94" s="91"/>
      <c r="K94" s="74"/>
      <c r="L94" s="74"/>
      <c r="M94" s="74"/>
      <c r="N94" s="92"/>
    </row>
    <row r="95" spans="1:14" ht="10.5" customHeight="1" thickBot="1">
      <c r="A95" s="211"/>
      <c r="B95" s="211"/>
      <c r="C95" s="211"/>
      <c r="D95" s="211"/>
      <c r="E95" s="211"/>
      <c r="F95" s="211"/>
      <c r="G95" s="211"/>
      <c r="H95" s="96"/>
      <c r="I95" s="91"/>
      <c r="J95" s="91"/>
      <c r="K95" s="74"/>
      <c r="L95" s="74"/>
      <c r="M95" s="74"/>
      <c r="N95" s="92"/>
    </row>
    <row r="96" spans="1:14" ht="15" customHeight="1" thickBot="1">
      <c r="A96" s="212" t="s">
        <v>128</v>
      </c>
      <c r="B96" s="213"/>
      <c r="C96" s="213"/>
      <c r="D96" s="214"/>
      <c r="E96" s="124" t="s">
        <v>158</v>
      </c>
      <c r="H96" s="74"/>
      <c r="I96" s="91"/>
      <c r="J96" s="91"/>
      <c r="K96" s="74"/>
      <c r="L96" s="74"/>
      <c r="M96" s="74"/>
      <c r="N96" s="92"/>
    </row>
    <row r="97" spans="1:15" ht="15" customHeight="1" thickBot="1">
      <c r="A97" s="215" t="s">
        <v>129</v>
      </c>
      <c r="B97" s="216"/>
      <c r="C97" s="216"/>
      <c r="D97" s="217"/>
      <c r="E97" s="124" t="s">
        <v>116</v>
      </c>
      <c r="H97" s="74"/>
      <c r="I97" s="91"/>
      <c r="J97" s="91"/>
      <c r="K97" s="74"/>
      <c r="L97" s="74"/>
      <c r="M97" s="74"/>
      <c r="N97" s="92"/>
    </row>
    <row r="98" spans="1:15" ht="12" customHeight="1" thickBot="1">
      <c r="A98" s="97"/>
      <c r="E98" s="123"/>
      <c r="H98" s="218" t="s">
        <v>34</v>
      </c>
      <c r="I98" s="218"/>
      <c r="J98" s="218"/>
      <c r="K98" s="218"/>
      <c r="L98" s="116"/>
      <c r="M98" s="98">
        <f>SUM(M89:M97)</f>
        <v>0</v>
      </c>
      <c r="N98" s="99"/>
    </row>
    <row r="99" spans="1:15" ht="6" customHeight="1" thickBot="1">
      <c r="A99" s="5"/>
      <c r="N99" s="6"/>
    </row>
    <row r="100" spans="1:15" ht="18" customHeight="1">
      <c r="A100" s="219" t="s">
        <v>130</v>
      </c>
      <c r="B100" s="219"/>
      <c r="C100" s="219"/>
      <c r="D100" s="220" t="e">
        <f>H87</f>
        <v>#DIV/0!</v>
      </c>
      <c r="E100" s="220"/>
      <c r="F100" s="100" t="s">
        <v>131</v>
      </c>
      <c r="G100" s="101"/>
      <c r="H100" s="221" t="s">
        <v>132</v>
      </c>
      <c r="I100" s="222"/>
      <c r="J100" s="223"/>
      <c r="K100" s="224" t="s">
        <v>133</v>
      </c>
      <c r="L100" s="224"/>
      <c r="M100" s="224"/>
      <c r="N100" s="224"/>
      <c r="O100" s="70"/>
    </row>
    <row r="101" spans="1:15" ht="18" customHeight="1" thickBot="1">
      <c r="A101" s="201" t="s">
        <v>134</v>
      </c>
      <c r="B101" s="201"/>
      <c r="C101" s="201"/>
      <c r="D101" s="201"/>
      <c r="E101" s="202" t="s">
        <v>135</v>
      </c>
      <c r="F101" s="202"/>
      <c r="G101" s="202"/>
      <c r="H101" s="203" t="s">
        <v>136</v>
      </c>
      <c r="I101" s="204"/>
      <c r="J101" s="205"/>
      <c r="K101" s="206"/>
      <c r="L101" s="206"/>
      <c r="M101" s="206"/>
      <c r="N101" s="206"/>
      <c r="O101" s="10"/>
    </row>
    <row r="102" spans="1:15" ht="14.25" customHeight="1">
      <c r="A102" s="207" t="s">
        <v>165</v>
      </c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102"/>
    </row>
    <row r="103" spans="1:15" ht="14.25" customHeight="1">
      <c r="A103" s="208"/>
      <c r="B103" s="208"/>
      <c r="C103" s="208"/>
      <c r="D103" s="208"/>
      <c r="E103" s="208"/>
      <c r="F103" s="208"/>
      <c r="G103" s="208"/>
      <c r="H103" s="103"/>
      <c r="I103" s="103"/>
      <c r="J103" s="103"/>
      <c r="K103" s="209"/>
      <c r="L103" s="209"/>
      <c r="M103" s="209"/>
      <c r="N103" s="209"/>
    </row>
    <row r="104" spans="1:15" ht="8.25" customHeight="1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</row>
  </sheetData>
  <mergeCells count="119">
    <mergeCell ref="A101:D101"/>
    <mergeCell ref="E101:G101"/>
    <mergeCell ref="H101:J101"/>
    <mergeCell ref="K101:N101"/>
    <mergeCell ref="A102:N102"/>
    <mergeCell ref="A103:G103"/>
    <mergeCell ref="K103:N103"/>
    <mergeCell ref="A92:D93"/>
    <mergeCell ref="A94:G95"/>
    <mergeCell ref="A96:D96"/>
    <mergeCell ref="A97:D97"/>
    <mergeCell ref="H98:K98"/>
    <mergeCell ref="A100:C100"/>
    <mergeCell ref="D100:E100"/>
    <mergeCell ref="H100:J100"/>
    <mergeCell ref="K100:N100"/>
    <mergeCell ref="A89:D89"/>
    <mergeCell ref="E89:F89"/>
    <mergeCell ref="A90:D90"/>
    <mergeCell ref="E90:F90"/>
    <mergeCell ref="A91:D91"/>
    <mergeCell ref="E91:F91"/>
    <mergeCell ref="A86:C86"/>
    <mergeCell ref="K86:N86"/>
    <mergeCell ref="A87:F87"/>
    <mergeCell ref="I87:N87"/>
    <mergeCell ref="A88:D88"/>
    <mergeCell ref="E88:F88"/>
    <mergeCell ref="N67:O67"/>
    <mergeCell ref="A82:E82"/>
    <mergeCell ref="N82:N83"/>
    <mergeCell ref="K83:M83"/>
    <mergeCell ref="A84:C84"/>
    <mergeCell ref="A85:C85"/>
    <mergeCell ref="G85:H85"/>
    <mergeCell ref="K85:N85"/>
    <mergeCell ref="A62:C63"/>
    <mergeCell ref="L62:M62"/>
    <mergeCell ref="L63:M63"/>
    <mergeCell ref="L64:M64"/>
    <mergeCell ref="L65:M65"/>
    <mergeCell ref="A66:F66"/>
    <mergeCell ref="H66:K66"/>
    <mergeCell ref="L66:M66"/>
    <mergeCell ref="A55:D55"/>
    <mergeCell ref="A59:D59"/>
    <mergeCell ref="L59:M59"/>
    <mergeCell ref="A60:D60"/>
    <mergeCell ref="L60:M60"/>
    <mergeCell ref="A61:D61"/>
    <mergeCell ref="L61:M61"/>
    <mergeCell ref="N55:N56"/>
    <mergeCell ref="A56:D56"/>
    <mergeCell ref="G56:I56"/>
    <mergeCell ref="A57:D57"/>
    <mergeCell ref="G57:G58"/>
    <mergeCell ref="H57:H58"/>
    <mergeCell ref="I57:I58"/>
    <mergeCell ref="N57:N58"/>
    <mergeCell ref="A58:D58"/>
    <mergeCell ref="N47:N48"/>
    <mergeCell ref="A48:D48"/>
    <mergeCell ref="I48:K48"/>
    <mergeCell ref="A49:D49"/>
    <mergeCell ref="N49:N50"/>
    <mergeCell ref="A50:D50"/>
    <mergeCell ref="H50:K50"/>
    <mergeCell ref="A46:E46"/>
    <mergeCell ref="G46:K46"/>
    <mergeCell ref="A47:D47"/>
    <mergeCell ref="G47:G54"/>
    <mergeCell ref="H47:K47"/>
    <mergeCell ref="L47:M52"/>
    <mergeCell ref="A51:D51"/>
    <mergeCell ref="I51:K51"/>
    <mergeCell ref="N51:N52"/>
    <mergeCell ref="A52:D52"/>
    <mergeCell ref="I52:K52"/>
    <mergeCell ref="A53:D53"/>
    <mergeCell ref="I53:K53"/>
    <mergeCell ref="L53:M58"/>
    <mergeCell ref="N53:N54"/>
    <mergeCell ref="A54:D54"/>
    <mergeCell ref="I54:K54"/>
    <mergeCell ref="G34:H34"/>
    <mergeCell ref="G35:H35"/>
    <mergeCell ref="G36:H36"/>
    <mergeCell ref="G37:H38"/>
    <mergeCell ref="G40:H40"/>
    <mergeCell ref="G41:H42"/>
    <mergeCell ref="G28:H28"/>
    <mergeCell ref="G29:H29"/>
    <mergeCell ref="G30:H30"/>
    <mergeCell ref="G31:H31"/>
    <mergeCell ref="G32:H32"/>
    <mergeCell ref="G33:H33"/>
    <mergeCell ref="G23:G24"/>
    <mergeCell ref="H23:H24"/>
    <mergeCell ref="G26:H26"/>
    <mergeCell ref="G27:H27"/>
    <mergeCell ref="A4:F4"/>
    <mergeCell ref="G4:N4"/>
    <mergeCell ref="A6:B6"/>
    <mergeCell ref="C6:F6"/>
    <mergeCell ref="L6:M6"/>
    <mergeCell ref="A8:B8"/>
    <mergeCell ref="C8:D8"/>
    <mergeCell ref="E8:F8"/>
    <mergeCell ref="H8:I8"/>
    <mergeCell ref="L8:M8"/>
    <mergeCell ref="A1:C3"/>
    <mergeCell ref="D1:I1"/>
    <mergeCell ref="K1:N1"/>
    <mergeCell ref="D2:I2"/>
    <mergeCell ref="K2:N2"/>
    <mergeCell ref="D3:I3"/>
    <mergeCell ref="K3:N3"/>
    <mergeCell ref="A10:D10"/>
    <mergeCell ref="G11:H22"/>
  </mergeCells>
  <conditionalFormatting sqref="D100:E100">
    <cfRule type="expression" dxfId="11" priority="8">
      <formula>NOT(ISERROR(SEARCH("REPROVADO",D100)))</formula>
    </cfRule>
  </conditionalFormatting>
  <conditionalFormatting sqref="E47:E50">
    <cfRule type="cellIs" dxfId="10" priority="9" operator="greaterThan">
      <formula>$Q$45</formula>
    </cfRule>
  </conditionalFormatting>
  <conditionalFormatting sqref="E48:E49">
    <cfRule type="cellIs" dxfId="9" priority="10" operator="greaterThan">
      <formula>$Q$45</formula>
    </cfRule>
  </conditionalFormatting>
  <conditionalFormatting sqref="E53:E54">
    <cfRule type="cellIs" dxfId="8" priority="12" operator="greaterThan">
      <formula>$Q$45</formula>
    </cfRule>
  </conditionalFormatting>
  <conditionalFormatting sqref="E57">
    <cfRule type="cellIs" dxfId="7" priority="11" operator="greaterThan">
      <formula>$Q$45</formula>
    </cfRule>
  </conditionalFormatting>
  <conditionalFormatting sqref="G37">
    <cfRule type="expression" dxfId="6" priority="4" stopIfTrue="1">
      <formula>NOT(ISERROR(SEARCH("REPROVADO",G37)))</formula>
    </cfRule>
    <cfRule type="expression" dxfId="5" priority="5" stopIfTrue="1">
      <formula>NOT(ISERROR(SEARCH("APROVADO",G37)))</formula>
    </cfRule>
    <cfRule type="expression" dxfId="4" priority="6" stopIfTrue="1">
      <formula>NOT(ISERROR(SEARCH("REPROVADO",#REF!)))</formula>
    </cfRule>
  </conditionalFormatting>
  <conditionalFormatting sqref="G41">
    <cfRule type="expression" dxfId="3" priority="1" stopIfTrue="1">
      <formula>NOT(ISERROR(SEARCH("REPROVADO",G41)))</formula>
    </cfRule>
    <cfRule type="expression" dxfId="2" priority="2" stopIfTrue="1">
      <formula>NOT(ISERROR(SEARCH("APROVADO",G41)))</formula>
    </cfRule>
    <cfRule type="expression" dxfId="1" priority="3" stopIfTrue="1">
      <formula>NOT(ISERROR(SEARCH("REPROVADO",#REF!)))</formula>
    </cfRule>
  </conditionalFormatting>
  <conditionalFormatting sqref="G44">
    <cfRule type="expression" dxfId="0" priority="7">
      <formula>NOT(ISERROR(SEARCH("REPROVADO",G44)))</formula>
    </cfRule>
  </conditionalFormatting>
  <printOptions horizontalCentered="1" verticalCentered="1"/>
  <pageMargins left="0.15763888888888899" right="0.15763888888888899" top="0.196527777777778" bottom="0.196527777777778" header="0.51180555555555496" footer="0.51180555555555496"/>
  <pageSetup paperSize="9" scale="6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F7D331-DD7E-4267-8F7C-671E7C10D4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CLIENTE</vt:lpstr>
      <vt:lpstr>CIALNE</vt:lpstr>
      <vt:lpstr>CIALNE!Area_de_impressao</vt:lpstr>
      <vt:lpstr>CLIENTE!Area_de_impressao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Flavio Antonio de Menezes</dc:creator>
  <dc:description/>
  <cp:lastModifiedBy>Francisca Livia de Oliveira Lima</cp:lastModifiedBy>
  <cp:revision>21</cp:revision>
  <cp:lastPrinted>2026-04-09T13:43:35Z</cp:lastPrinted>
  <dcterms:created xsi:type="dcterms:W3CDTF">2019-05-27T18:07:37Z</dcterms:created>
  <dcterms:modified xsi:type="dcterms:W3CDTF">2026-08-11T16:11:02Z</dcterms:modified>
  <dc:language>pt-BR</dc:language>
</cp:coreProperties>
</file>